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olin4-my.sharepoint.com/personal/mjohnson_olin_com/Documents/Documents/Audit Tools/"/>
    </mc:Choice>
  </mc:AlternateContent>
  <xr:revisionPtr revIDLastSave="0" documentId="10_ncr:100000_{88FB58F1-10BE-4EF3-97A5-0265F20BD9D4}" xr6:coauthVersionLast="31" xr6:coauthVersionMax="43" xr10:uidLastSave="{00000000-0000-0000-0000-000000000000}"/>
  <bookViews>
    <workbookView xWindow="0" yWindow="0" windowWidth="28800" windowHeight="11910" xr2:uid="{00000000-000D-0000-FFFF-FFFF00000000}"/>
  </bookViews>
  <sheets>
    <sheet name="Risk Assessment" sheetId="1" r:id="rId1"/>
    <sheet name="IMPACT_LIKELIHOOD_DROPDOWN" sheetId="2" state="hidden" r:id="rId2"/>
    <sheet name="Heat Map" sheetId="4" r:id="rId3"/>
    <sheet name="Risk Register" sheetId="6" r:id="rId4"/>
  </sheets>
  <definedNames>
    <definedName name="_xlnm._FilterDatabase" localSheetId="0" hidden="1">'Risk Assessment'!$A$9:$M$9</definedName>
    <definedName name="_xlnm.Print_Area" localSheetId="0">'Risk Assessment'!$A$1:$L$49</definedName>
    <definedName name="_xlnm.Print_Area" localSheetId="3">'Risk Register'!$A$1:$K$49</definedName>
  </definedNames>
  <calcPr calcId="179017"/>
</workbook>
</file>

<file path=xl/calcChain.xml><?xml version="1.0" encoding="utf-8"?>
<calcChain xmlns="http://schemas.openxmlformats.org/spreadsheetml/2006/main">
  <c r="G10" i="1" l="1"/>
  <c r="H10" i="1"/>
  <c r="I10" i="1" l="1"/>
  <c r="J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C9" i="6"/>
  <c r="B9" i="6"/>
  <c r="A28" i="6"/>
  <c r="A29" i="6"/>
  <c r="I29" i="6"/>
  <c r="H29" i="6"/>
  <c r="K29" i="6" s="1"/>
  <c r="I28" i="6"/>
  <c r="H28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H29" i="1"/>
  <c r="G29" i="1"/>
  <c r="K28" i="6" l="1"/>
  <c r="I29" i="1"/>
  <c r="J29" i="6" s="1"/>
  <c r="A9" i="6"/>
  <c r="G14" i="1" l="1"/>
  <c r="H14" i="1"/>
  <c r="H18" i="1"/>
  <c r="G18" i="1"/>
  <c r="I14" i="1" l="1"/>
  <c r="J14" i="6" s="1"/>
  <c r="I18" i="1"/>
  <c r="J18" i="6" s="1"/>
  <c r="A10" i="6"/>
  <c r="H9" i="6" l="1"/>
  <c r="I27" i="6"/>
  <c r="H27" i="6"/>
  <c r="I26" i="6"/>
  <c r="H26" i="6"/>
  <c r="I25" i="6"/>
  <c r="H25" i="6"/>
  <c r="I24" i="6"/>
  <c r="H24" i="6"/>
  <c r="I23" i="6"/>
  <c r="H23" i="6"/>
  <c r="I22" i="6"/>
  <c r="H22" i="6"/>
  <c r="I21" i="6"/>
  <c r="H21" i="6"/>
  <c r="I20" i="6"/>
  <c r="H20" i="6"/>
  <c r="I19" i="6"/>
  <c r="H19" i="6"/>
  <c r="I18" i="6"/>
  <c r="H18" i="6"/>
  <c r="I17" i="6"/>
  <c r="H17" i="6"/>
  <c r="I16" i="6"/>
  <c r="H16" i="6"/>
  <c r="I15" i="6"/>
  <c r="H15" i="6"/>
  <c r="I14" i="6"/>
  <c r="H14" i="6"/>
  <c r="I13" i="6"/>
  <c r="H13" i="6"/>
  <c r="I12" i="6"/>
  <c r="H12" i="6"/>
  <c r="I11" i="6"/>
  <c r="H11" i="6"/>
  <c r="I10" i="6"/>
  <c r="H10" i="6"/>
  <c r="I9" i="6"/>
  <c r="K9" i="6" l="1"/>
  <c r="K14" i="6"/>
  <c r="K20" i="6"/>
  <c r="K22" i="6"/>
  <c r="K24" i="6"/>
  <c r="K26" i="6"/>
  <c r="K15" i="6"/>
  <c r="K19" i="6"/>
  <c r="K27" i="6"/>
  <c r="K11" i="6"/>
  <c r="K18" i="6"/>
  <c r="K10" i="6"/>
  <c r="K12" i="6"/>
  <c r="K25" i="6"/>
  <c r="K13" i="6"/>
  <c r="K17" i="6"/>
  <c r="K16" i="6"/>
  <c r="K21" i="6"/>
  <c r="K23" i="6"/>
  <c r="B3" i="6"/>
  <c r="B5" i="6" l="1"/>
  <c r="B4" i="6"/>
  <c r="H19" i="1"/>
  <c r="H25" i="1"/>
  <c r="H23" i="1"/>
  <c r="H11" i="1"/>
  <c r="H12" i="1"/>
  <c r="H13" i="1"/>
  <c r="H15" i="1"/>
  <c r="H22" i="1"/>
  <c r="H20" i="1"/>
  <c r="H21" i="1"/>
  <c r="H24" i="1"/>
  <c r="H16" i="1"/>
  <c r="H17" i="1"/>
  <c r="H26" i="1"/>
  <c r="H27" i="1"/>
  <c r="H28" i="1"/>
  <c r="G25" i="1"/>
  <c r="G23" i="1"/>
  <c r="G19" i="1"/>
  <c r="G11" i="1"/>
  <c r="G12" i="1"/>
  <c r="G13" i="1"/>
  <c r="G15" i="1"/>
  <c r="G22" i="1"/>
  <c r="G20" i="1"/>
  <c r="G21" i="1"/>
  <c r="G24" i="1"/>
  <c r="G16" i="1"/>
  <c r="G17" i="1"/>
  <c r="G26" i="1"/>
  <c r="G27" i="1"/>
  <c r="G28" i="1"/>
  <c r="I26" i="1" l="1"/>
  <c r="J26" i="6" s="1"/>
  <c r="I15" i="1"/>
  <c r="J15" i="6" s="1"/>
  <c r="I11" i="1"/>
  <c r="J11" i="6" s="1"/>
  <c r="I17" i="1"/>
  <c r="J17" i="6" s="1"/>
  <c r="I21" i="1"/>
  <c r="J21" i="6" s="1"/>
  <c r="J10" i="6"/>
  <c r="I19" i="1"/>
  <c r="J19" i="6" s="1"/>
  <c r="I28" i="1"/>
  <c r="J28" i="6" s="1"/>
  <c r="I16" i="1"/>
  <c r="J16" i="6" s="1"/>
  <c r="I20" i="1"/>
  <c r="J20" i="6" s="1"/>
  <c r="I13" i="1"/>
  <c r="J13" i="6" s="1"/>
  <c r="I23" i="1"/>
  <c r="J23" i="6" s="1"/>
  <c r="I27" i="1"/>
  <c r="J27" i="6" s="1"/>
  <c r="I24" i="1"/>
  <c r="J24" i="6" s="1"/>
  <c r="I22" i="1"/>
  <c r="J22" i="6" s="1"/>
  <c r="I12" i="1"/>
  <c r="J12" i="6" s="1"/>
  <c r="I25" i="1"/>
  <c r="J25" i="6" s="1"/>
</calcChain>
</file>

<file path=xl/sharedStrings.xml><?xml version="1.0" encoding="utf-8"?>
<sst xmlns="http://schemas.openxmlformats.org/spreadsheetml/2006/main" count="149" uniqueCount="116">
  <si>
    <t>Completed By:</t>
  </si>
  <si>
    <t>Date:</t>
  </si>
  <si>
    <t>Identified Risk</t>
  </si>
  <si>
    <t>Impact</t>
  </si>
  <si>
    <t>Likelihood</t>
  </si>
  <si>
    <t>IMPACT</t>
  </si>
  <si>
    <t>Value</t>
  </si>
  <si>
    <t>Insignificant</t>
  </si>
  <si>
    <t>Moderate</t>
  </si>
  <si>
    <t>LIKELIHOOD</t>
  </si>
  <si>
    <t>Risk Score</t>
  </si>
  <si>
    <t>Use to identify, assess and take action to reduce risk</t>
  </si>
  <si>
    <t>Responsible Person/Job Title</t>
  </si>
  <si>
    <t>Comments/Concerns</t>
  </si>
  <si>
    <t>Date of Next Risk Assessment:</t>
  </si>
  <si>
    <t>Actual Completion Date</t>
  </si>
  <si>
    <t>Updates/Status</t>
  </si>
  <si>
    <t>Risk Score (Original)</t>
  </si>
  <si>
    <t>Risk Score (New)</t>
  </si>
  <si>
    <t>Mild</t>
  </si>
  <si>
    <t>Significant</t>
  </si>
  <si>
    <t>Catastrophic</t>
  </si>
  <si>
    <t>Low</t>
  </si>
  <si>
    <t>Low-Medium</t>
  </si>
  <si>
    <t>Medium</t>
  </si>
  <si>
    <t>Medium-High</t>
  </si>
  <si>
    <t>High</t>
  </si>
  <si>
    <t>Risk Calculation</t>
  </si>
  <si>
    <t>Risk Calculation Comparison</t>
  </si>
  <si>
    <t>Do you need to do anything else to reduce or control the risk?</t>
  </si>
  <si>
    <t>Actions to take to reduce risk</t>
  </si>
  <si>
    <t>Describe the identified risk</t>
  </si>
  <si>
    <t>Date Completed:</t>
  </si>
  <si>
    <t>What is the risk?*</t>
  </si>
  <si>
    <t>How is risk currently managed?**</t>
  </si>
  <si>
    <t>John Smith</t>
  </si>
  <si>
    <t>Risk Score Key</t>
  </si>
  <si>
    <t>Target Completion Date</t>
  </si>
  <si>
    <t>Low Risk (1-4)</t>
  </si>
  <si>
    <t>- All production data is in Azure cloud
- Employees can work remotely
-.</t>
  </si>
  <si>
    <t>Risk Register and Roadmap</t>
  </si>
  <si>
    <t>Critical Risk (16-25)</t>
  </si>
  <si>
    <t>High Risk (10-15)</t>
  </si>
  <si>
    <t>Moderate Risk (5-9)</t>
  </si>
  <si>
    <t xml:space="preserve">- disaster plan on SharePoint for employees to access
</t>
  </si>
  <si>
    <t>- communication with remote employees
-</t>
  </si>
  <si>
    <t>Flood preventing access to building</t>
  </si>
  <si>
    <t xml:space="preserve"> Risk Assessment Tool</t>
  </si>
  <si>
    <t>Current processing capacity is not sufficient to meet availability commitments. - cloud performance</t>
  </si>
  <si>
    <t>Cloud services do not perform within contracted standards</t>
  </si>
  <si>
    <t>Data Availability - dos</t>
  </si>
  <si>
    <t xml:space="preserve">Malicious external user launches denial of service attack.  </t>
  </si>
  <si>
    <t>Data Availability - corruption</t>
  </si>
  <si>
    <t>Database corruption leads to data loss</t>
  </si>
  <si>
    <t xml:space="preserve">-The Production environment is configured to be backed up across geographical regions of the cloud environment.
- Backups are performed and can be recovered in the event of data corruption or other disaster. 
</t>
  </si>
  <si>
    <t>Data Availability - ransomware</t>
  </si>
  <si>
    <t>Ransomware infects production environment</t>
  </si>
  <si>
    <t xml:space="preserve">-A Disaster Recovery Plan has been developed which addresses the process for migrating Production activities to a different region of cloud environment
- Backups are performed and can be recovered in the event of data corruption or other disaster. 
</t>
  </si>
  <si>
    <t>Data Breach - third party</t>
  </si>
  <si>
    <t>Third parties incur a breach and client PII is publically exposed.</t>
  </si>
  <si>
    <t>Data Breach - unauthorized access</t>
  </si>
  <si>
    <t>Unauthorized access to confidential information is obtained.</t>
  </si>
  <si>
    <t xml:space="preserve">-Audit logging is turned on to monitor for potential unauthorized attempts for access.
-Privileged access to sensitive resources is restricted to defined user roles.
-Quarterly User access reviews are performed. 
</t>
  </si>
  <si>
    <t>Internal Sabotage - malicious employee</t>
  </si>
  <si>
    <t xml:space="preserve">A malicious employee is hired in a key position.     </t>
  </si>
  <si>
    <t xml:space="preserve">Employees are subject to a criminal background check and drug test before being hired.
-Employee have monthly credit and criminal background monitoring performed.
-Audit logging is turned on to monitor for potential unauthorized attempts for access.
-Privileged access to sensitive resources is restricted to defined user roles. separation of duties language
-Quarterly user access reviews are performed.
</t>
  </si>
  <si>
    <t>Natural disaster - corp office</t>
  </si>
  <si>
    <t>PII data loss - uneducated user</t>
  </si>
  <si>
    <t xml:space="preserve">An uneducated internal user releases PII data. 
</t>
  </si>
  <si>
    <t>PII data loss - test environments</t>
  </si>
  <si>
    <t xml:space="preserve">PII data is used in test environments.  </t>
  </si>
  <si>
    <t xml:space="preserve">-Test data is provided by service provider 
-No production data is used in the test or stage environment.
</t>
  </si>
  <si>
    <t>Recovery plans are not suitably designed - full failover</t>
  </si>
  <si>
    <t xml:space="preserve">A full failover exercise has not been successfully completed.  </t>
  </si>
  <si>
    <t xml:space="preserve">-A Disaster Recovery Plan has been developed which addresses the process for migrating Production activities to a different region of cloud environment.
-A Disaster Recovery Plan is tested annually.
- A Tabletop exercise and a live DR test are planned
</t>
  </si>
  <si>
    <t>Recovery plans are not suitably designed - backups</t>
  </si>
  <si>
    <t xml:space="preserve">Cloud backups are not operating as designed. </t>
  </si>
  <si>
    <t>Recovery plans are not suitably designed - available</t>
  </si>
  <si>
    <t xml:space="preserve">Key personnel are not available during an emergency and backup individuals are not assigned.  </t>
  </si>
  <si>
    <t xml:space="preserve">-A Disaster Recovery Plan has been developed which addresses The backup and restoration of systems.
.
-A BCP Plan has been developed which includes Key personnel contact information.
-A Disaster Recovery Plan is tested annually.
- A Tabletop exercise was completed and a live DR test is scheduled for Q2
</t>
  </si>
  <si>
    <t>Unauthorized access to confidential information is obtained. - mitm</t>
  </si>
  <si>
    <t xml:space="preserve">A man in the middle attack intercepts PII.  </t>
  </si>
  <si>
    <t>Unauthorized changes - code</t>
  </si>
  <si>
    <t xml:space="preserve">Unauthorized code is input into the production environment in error, prior to testing and approval.  </t>
  </si>
  <si>
    <t xml:space="preserve">-Change Management procedures have been implemented to prevent unauthorized changes to configuration settings.
-Key files are monitored by automatic system for changes. Notification on dash board 
</t>
  </si>
  <si>
    <t>Natural disaster - azure</t>
  </si>
  <si>
    <t>Natural disaster affects Azure data center</t>
  </si>
  <si>
    <t xml:space="preserve">-Disaster Recovery Plan has been developed which addresses the process for migrating production activities to a different region of cloud environment.
-Each region has multiple Data centers and data is replicated across the regions.
-A Tabletop exercise was completed and a live DR test is scheduled for Q2
-A Disaster Recovery Plan is tested annually.
-Vendor Management
</t>
  </si>
  <si>
    <t>Company does not respond to external  business environment - regulatory</t>
  </si>
  <si>
    <t xml:space="preserve">Regulatory changes are not identified </t>
  </si>
  <si>
    <t xml:space="preserve">-Management monitor regulatory changes via membership MBA.
-Contract with external professionals to ensure compliant with current business environment.
</t>
  </si>
  <si>
    <t>Company does not respond to external  business environment - market</t>
  </si>
  <si>
    <t xml:space="preserve">-Monitor market changes via membership MBA
daily emails from MBA (forecast)
-Contract with external professionals to ensure compliant with current business environment.
-Upper management meet regularly with VP of customers and VP of sales to identify trends and forecast changes needed for business operations.
</t>
  </si>
  <si>
    <t>Client satisfaction is not met - feedback</t>
  </si>
  <si>
    <t>company does not respond to client feedback concerns (causing a loss of revenue and client footprint)</t>
  </si>
  <si>
    <t xml:space="preserve">-Management hired VP of Customer Success to monitor and maintained relationships with customers.
-Client support team  in place to address issues with clients.
-Clients are assigned a dedicated point of contact for issues and general issues.
-A ticketing system is in place for client related issues. Issues are addressed based on severity.
-When issues have been remedied, the POC for the client reaches out to ensure the client is satisfied with the results.
</t>
  </si>
  <si>
    <t>Loss of key vendors - third parties</t>
  </si>
  <si>
    <t>Ability to continue to provide existing service to clients that rely on third party vendors.</t>
  </si>
  <si>
    <t>Continue to improve monitoring solutions to provide warning when capacity is tasking current assets.
Continue to monitor announcements from Azure for new and improved features that may allow additional capacity.</t>
  </si>
  <si>
    <t>Monitor market to determine if additional third-party DOS coverage is appropriate.
Monitor Azure announcements for DOS protection offerrings and features.
Evaluate adding thid-party DOS protection to next year's budget.</t>
  </si>
  <si>
    <t>No additional work to mitigate risk.</t>
  </si>
  <si>
    <t>Evaluate adding automated failover to DR Site.
Evaluate adding additional capacity to DR Site.
Evaluate creating a tertiary site whose data lags production by a few hours.</t>
  </si>
  <si>
    <t>Evaluate DLP product markets.
Evaluate adding budget for DLP product to next year's budget.</t>
  </si>
  <si>
    <t>Additional DR testing needs to be performed.
Evaluate adding automatic failover to DR plan.</t>
  </si>
  <si>
    <t>Additional DR testing needs to be performed.</t>
  </si>
  <si>
    <t xml:space="preserve">-COMPANY_NAME maintains a vendor management program to track all third parties with access to client data and ensure required confidentiality agreements are in place. 
-Automated monitoring is in place to verify servers are responsive.
</t>
  </si>
  <si>
    <t xml:space="preserve">-The Production environment is configured to be backed up across geographical regions of The cloud environment.
-Firewalls and IPS are in place to detect abnormal activity.
-Management performs periodic analysis of the capacity requirements in the COMPANY_NAME environment to assess future capacity requirements. 
-Azure provides DDOS defense system as part of their continuous monitoring process. 
</t>
  </si>
  <si>
    <t xml:space="preserve">- Security Incident Reporting Policy has been created which documents the process for communicating potential issues and escalating The issue as required.
-The Incident Reporting Policy includes a process to review incidents after the fact and develop a plan to address threats in the future. 
-COMPANY_NAME maintains a vendor management program to track all third parties with access to client data and ensure required confidentiality agreements are in place.
</t>
  </si>
  <si>
    <t>Natural disaster prevents COMPANY_NAME employees access to COMPANY_NAME office.</t>
  </si>
  <si>
    <t xml:space="preserve">-Critical applications are not housed at COMPANY_NAME HQ office. 
-A BCP is in place and tested in Jan 2017 
</t>
  </si>
  <si>
    <t xml:space="preserve">-A Data Classification policy is reviewed and approved.
-Employees sign a confidentiality agreement upon employment.
-Annual Security Awareness Training is  performed to recertify employees.
-Employees recertify acknowledgements of COMPANY_NAME policies. 
-PII is  encrypted.
-Privileged access to sensitive resources is restricted to defined user roles. separation of duties language
-Quarterly User access reviews are performed. 
</t>
  </si>
  <si>
    <t xml:space="preserve">-Management performs periodic validation checks to ensure replications between regions is occurring as configured.
- Automatic system monitors replication between regions.
-Notifications are sent to COMPANY_NAME in the event of backup failures.
</t>
  </si>
  <si>
    <t xml:space="preserve">-Data transfers between COMPANY_NAME Web application and Azure are restricted to secure connections  (TLS1.1 or greater).
-COMPANY_NAME has deactivated weak 64 bit ciphers.
</t>
  </si>
  <si>
    <t>COMPANY_NAME does not create business plans to address or respond to market conditions and forecasts of changing conditions.</t>
  </si>
  <si>
    <t xml:space="preserve">-A vendor management review is performed to ensure vendors can continue to provide services needed to supports to support clients
-vendor management reviews ensures that COMPANY_NAME continues to be compliant with third party vendor requirements to maintain service agreements
-Senior management is responsible for maintaining and building relationships with third party vendors.
-Senior Management continually reviews  for new and alternative resources.
</t>
  </si>
  <si>
    <r>
      <rPr>
        <b/>
        <sz val="12"/>
        <color rgb="FF0000FF"/>
        <rFont val="Calibri"/>
        <family val="2"/>
        <scheme val="minor"/>
      </rPr>
      <t>Example:</t>
    </r>
    <r>
      <rPr>
        <sz val="12"/>
        <color rgb="FF0000FF"/>
        <rFont val="Calibri"/>
        <family val="2"/>
        <scheme val="minor"/>
      </rPr>
      <t xml:space="preserve"> Flood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</si>
</sst>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b/>
      <sz val="12"/>
      <color rgb="FF0000F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373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83">
    <xf numFmtId="0" fontId="0" fillId="0" borderId="0" xfId="0"/>
    <xf numFmtId="0" fontId="1" fillId="0" borderId="0" xfId="1"/>
    <xf numFmtId="0" fontId="4" fillId="0" borderId="1" xfId="1" applyFont="1" applyBorder="1"/>
    <xf numFmtId="0" fontId="2" fillId="0" borderId="1" xfId="1" applyFont="1" applyBorder="1"/>
    <xf numFmtId="0" fontId="0" fillId="3" borderId="0" xfId="0" applyFill="1" applyProtection="1">
      <protection locked="0"/>
    </xf>
    <xf numFmtId="0" fontId="0" fillId="3" borderId="0" xfId="0" applyFill="1"/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5" fillId="3" borderId="0" xfId="1" applyFont="1" applyFill="1" applyAlignment="1" applyProtection="1">
      <protection locked="0"/>
    </xf>
    <xf numFmtId="14" fontId="1" fillId="3" borderId="0" xfId="0" applyNumberFormat="1" applyFont="1" applyFill="1" applyBorder="1" applyAlignment="1" applyProtection="1">
      <alignment horizontal="left"/>
      <protection locked="0"/>
    </xf>
    <xf numFmtId="0" fontId="8" fillId="2" borderId="4" xfId="1" applyFont="1" applyFill="1" applyBorder="1" applyAlignment="1" applyProtection="1">
      <alignment horizontal="center" vertical="top"/>
    </xf>
    <xf numFmtId="0" fontId="1" fillId="3" borderId="4" xfId="1" applyFont="1" applyFill="1" applyBorder="1" applyAlignment="1" applyProtection="1">
      <alignment horizontal="left" vertical="top" wrapText="1"/>
      <protection locked="0"/>
    </xf>
    <xf numFmtId="0" fontId="1" fillId="3" borderId="4" xfId="1" applyFont="1" applyFill="1" applyBorder="1" applyAlignment="1" applyProtection="1">
      <alignment horizontal="center" vertical="top" wrapText="1"/>
      <protection locked="0"/>
    </xf>
    <xf numFmtId="14" fontId="1" fillId="3" borderId="4" xfId="0" applyNumberFormat="1" applyFont="1" applyFill="1" applyBorder="1" applyAlignment="1" applyProtection="1">
      <alignment horizontal="center" vertical="top" wrapText="1"/>
      <protection locked="0"/>
    </xf>
    <xf numFmtId="0" fontId="1" fillId="3" borderId="4" xfId="0" applyFont="1" applyFill="1" applyBorder="1" applyAlignment="1" applyProtection="1">
      <alignment horizontal="center" vertical="top" wrapText="1"/>
      <protection locked="0"/>
    </xf>
    <xf numFmtId="0" fontId="0" fillId="4" borderId="6" xfId="0" applyFill="1" applyBorder="1" applyProtection="1">
      <protection locked="0"/>
    </xf>
    <xf numFmtId="0" fontId="2" fillId="4" borderId="2" xfId="1" applyFont="1" applyFill="1" applyBorder="1" applyAlignment="1" applyProtection="1">
      <alignment horizontal="center"/>
    </xf>
    <xf numFmtId="0" fontId="2" fillId="4" borderId="7" xfId="1" applyFont="1" applyFill="1" applyBorder="1" applyAlignment="1" applyProtection="1">
      <alignment horizontal="center"/>
    </xf>
    <xf numFmtId="0" fontId="0" fillId="4" borderId="8" xfId="0" applyFill="1" applyBorder="1" applyProtection="1">
      <protection locked="0"/>
    </xf>
    <xf numFmtId="0" fontId="2" fillId="4" borderId="9" xfId="1" applyFont="1" applyFill="1" applyBorder="1" applyAlignment="1" applyProtection="1">
      <alignment horizontal="center"/>
    </xf>
    <xf numFmtId="0" fontId="0" fillId="4" borderId="8" xfId="0" applyFill="1" applyBorder="1" applyAlignment="1" applyProtection="1">
      <alignment horizontal="center"/>
      <protection locked="0"/>
    </xf>
    <xf numFmtId="0" fontId="2" fillId="4" borderId="9" xfId="1" applyFont="1" applyFill="1" applyBorder="1" applyAlignment="1" applyProtection="1">
      <alignment horizontal="center" wrapText="1"/>
    </xf>
    <xf numFmtId="0" fontId="0" fillId="4" borderId="5" xfId="0" applyFill="1" applyBorder="1" applyAlignment="1" applyProtection="1">
      <alignment horizontal="center"/>
    </xf>
    <xf numFmtId="0" fontId="0" fillId="3" borderId="5" xfId="0" applyFill="1" applyBorder="1" applyProtection="1"/>
    <xf numFmtId="0" fontId="7" fillId="3" borderId="2" xfId="1" applyFont="1" applyFill="1" applyBorder="1" applyAlignment="1" applyProtection="1">
      <alignment horizontal="center"/>
    </xf>
    <xf numFmtId="0" fontId="8" fillId="3" borderId="4" xfId="1" applyFont="1" applyFill="1" applyBorder="1" applyAlignment="1" applyProtection="1">
      <alignment horizontal="left" vertical="top" wrapText="1"/>
      <protection locked="0"/>
    </xf>
    <xf numFmtId="0" fontId="8" fillId="2" borderId="4" xfId="1" applyFont="1" applyFill="1" applyBorder="1" applyAlignment="1" applyProtection="1">
      <alignment horizontal="center" vertical="top" wrapText="1"/>
    </xf>
    <xf numFmtId="0" fontId="0" fillId="4" borderId="8" xfId="0" applyFill="1" applyBorder="1" applyProtection="1"/>
    <xf numFmtId="14" fontId="1" fillId="4" borderId="8" xfId="0" applyNumberFormat="1" applyFont="1" applyFill="1" applyBorder="1" applyAlignment="1" applyProtection="1">
      <alignment horizontal="left"/>
    </xf>
    <xf numFmtId="0" fontId="0" fillId="4" borderId="8" xfId="0" applyFill="1" applyBorder="1" applyAlignment="1" applyProtection="1">
      <alignment horizontal="center"/>
    </xf>
    <xf numFmtId="0" fontId="9" fillId="5" borderId="10" xfId="0" applyFont="1" applyFill="1" applyBorder="1" applyProtection="1">
      <protection locked="0"/>
    </xf>
    <xf numFmtId="0" fontId="2" fillId="3" borderId="11" xfId="0" applyFont="1" applyFill="1" applyBorder="1" applyAlignment="1" applyProtection="1">
      <alignment horizontal="center"/>
      <protection locked="0"/>
    </xf>
    <xf numFmtId="0" fontId="1" fillId="6" borderId="10" xfId="0" applyFont="1" applyFill="1" applyBorder="1"/>
    <xf numFmtId="0" fontId="2" fillId="3" borderId="11" xfId="0" applyFont="1" applyFill="1" applyBorder="1" applyAlignment="1">
      <alignment horizontal="center"/>
    </xf>
    <xf numFmtId="0" fontId="1" fillId="7" borderId="12" xfId="0" applyFont="1" applyFill="1" applyBorder="1"/>
    <xf numFmtId="0" fontId="2" fillId="3" borderId="7" xfId="0" applyFont="1" applyFill="1" applyBorder="1" applyAlignment="1">
      <alignment horizontal="center"/>
    </xf>
    <xf numFmtId="0" fontId="1" fillId="4" borderId="4" xfId="1" applyFont="1" applyFill="1" applyBorder="1" applyAlignment="1" applyProtection="1">
      <alignment horizontal="left" vertical="top" wrapText="1"/>
      <protection locked="0"/>
    </xf>
    <xf numFmtId="2" fontId="0" fillId="3" borderId="0" xfId="0" applyNumberFormat="1" applyFill="1" applyProtection="1">
      <protection locked="0"/>
    </xf>
    <xf numFmtId="2" fontId="0" fillId="3" borderId="0" xfId="0" applyNumberFormat="1" applyFill="1"/>
    <xf numFmtId="49" fontId="1" fillId="0" borderId="4" xfId="1" quotePrefix="1" applyNumberFormat="1" applyFont="1" applyFill="1" applyBorder="1" applyAlignment="1" applyProtection="1">
      <alignment horizontal="left" vertical="top" wrapText="1"/>
    </xf>
    <xf numFmtId="0" fontId="0" fillId="8" borderId="0" xfId="0" applyFill="1"/>
    <xf numFmtId="0" fontId="2" fillId="5" borderId="9" xfId="1" applyFont="1" applyFill="1" applyBorder="1" applyAlignment="1" applyProtection="1">
      <alignment horizontal="center"/>
    </xf>
    <xf numFmtId="0" fontId="1" fillId="3" borderId="0" xfId="1" applyFont="1" applyFill="1" applyBorder="1" applyAlignment="1" applyProtection="1">
      <alignment horizontal="left" vertical="top" wrapText="1"/>
      <protection locked="0"/>
    </xf>
    <xf numFmtId="0" fontId="0" fillId="3" borderId="0" xfId="0" applyFill="1"/>
    <xf numFmtId="0" fontId="1" fillId="3" borderId="4" xfId="1" applyFont="1" applyFill="1" applyBorder="1" applyAlignment="1" applyProtection="1">
      <alignment horizontal="left" vertical="top" wrapText="1"/>
      <protection locked="0"/>
    </xf>
    <xf numFmtId="0" fontId="1" fillId="3" borderId="4" xfId="1" applyFont="1" applyFill="1" applyBorder="1" applyAlignment="1" applyProtection="1">
      <alignment horizontal="center" vertical="top" wrapText="1"/>
      <protection locked="0"/>
    </xf>
    <xf numFmtId="14" fontId="1" fillId="3" borderId="4" xfId="0" applyNumberFormat="1" applyFont="1" applyFill="1" applyBorder="1" applyAlignment="1" applyProtection="1">
      <alignment horizontal="center" vertical="top" wrapText="1"/>
      <protection locked="0"/>
    </xf>
    <xf numFmtId="0" fontId="1" fillId="3" borderId="4" xfId="0" applyFont="1" applyFill="1" applyBorder="1" applyAlignment="1" applyProtection="1">
      <alignment horizontal="center" vertical="top" wrapText="1"/>
      <protection locked="0"/>
    </xf>
    <xf numFmtId="0" fontId="8" fillId="3" borderId="4" xfId="1" applyFont="1" applyFill="1" applyBorder="1" applyAlignment="1" applyProtection="1">
      <alignment horizontal="left" vertical="top" wrapText="1"/>
      <protection locked="0"/>
    </xf>
    <xf numFmtId="0" fontId="8" fillId="2" borderId="4" xfId="1" applyFont="1" applyFill="1" applyBorder="1" applyAlignment="1" applyProtection="1">
      <alignment horizontal="center" vertical="top" wrapText="1"/>
    </xf>
    <xf numFmtId="0" fontId="1" fillId="4" borderId="4" xfId="1" applyFont="1" applyFill="1" applyBorder="1" applyAlignment="1" applyProtection="1">
      <alignment horizontal="left" vertical="top" wrapText="1"/>
      <protection locked="0"/>
    </xf>
    <xf numFmtId="0" fontId="1" fillId="0" borderId="4" xfId="1" quotePrefix="1" applyFont="1" applyFill="1" applyBorder="1" applyAlignment="1" applyProtection="1">
      <alignment horizontal="left" vertical="top" wrapText="1"/>
    </xf>
    <xf numFmtId="14" fontId="1" fillId="0" borderId="4" xfId="1" applyNumberFormat="1" applyFont="1" applyFill="1" applyBorder="1" applyAlignment="1" applyProtection="1">
      <alignment horizontal="center" vertical="top"/>
    </xf>
    <xf numFmtId="0" fontId="1" fillId="4" borderId="4" xfId="1" applyNumberFormat="1" applyFont="1" applyFill="1" applyBorder="1" applyAlignment="1" applyProtection="1">
      <alignment horizontal="left" vertical="top" wrapText="1"/>
      <protection locked="0"/>
    </xf>
    <xf numFmtId="0" fontId="1" fillId="3" borderId="4" xfId="1" applyFont="1" applyFill="1" applyBorder="1" applyAlignment="1" applyProtection="1">
      <alignment vertical="top" wrapText="1"/>
      <protection locked="0"/>
    </xf>
    <xf numFmtId="0" fontId="1" fillId="0" borderId="4" xfId="1" applyFont="1" applyFill="1" applyBorder="1" applyAlignment="1" applyProtection="1">
      <alignment vertical="top"/>
    </xf>
    <xf numFmtId="0" fontId="1" fillId="0" borderId="4" xfId="1" applyFont="1" applyFill="1" applyBorder="1" applyAlignment="1" applyProtection="1">
      <alignment horizontal="left" vertical="top"/>
    </xf>
    <xf numFmtId="0" fontId="3" fillId="4" borderId="0" xfId="1" applyFont="1" applyFill="1" applyAlignment="1" applyProtection="1">
      <alignment horizontal="right" vertical="center"/>
    </xf>
    <xf numFmtId="0" fontId="5" fillId="4" borderId="0" xfId="1" applyFont="1" applyFill="1" applyAlignment="1" applyProtection="1">
      <alignment horizontal="right" vertical="center"/>
    </xf>
    <xf numFmtId="14" fontId="1" fillId="3" borderId="3" xfId="0" applyNumberFormat="1" applyFont="1" applyFill="1" applyBorder="1" applyAlignment="1" applyProtection="1">
      <alignment horizontal="left" vertical="center"/>
      <protection locked="0"/>
    </xf>
    <xf numFmtId="0" fontId="1" fillId="3" borderId="3" xfId="0" applyFont="1" applyFill="1" applyBorder="1" applyAlignment="1" applyProtection="1">
      <alignment horizontal="left" vertical="center"/>
      <protection locked="0"/>
    </xf>
    <xf numFmtId="0" fontId="1" fillId="4" borderId="3" xfId="0" applyFont="1" applyFill="1" applyBorder="1" applyAlignment="1" applyProtection="1">
      <alignment horizontal="left" vertical="center"/>
    </xf>
    <xf numFmtId="14" fontId="1" fillId="4" borderId="3" xfId="0" applyNumberFormat="1" applyFont="1" applyFill="1" applyBorder="1" applyAlignment="1" applyProtection="1">
      <alignment horizontal="left" vertical="center"/>
    </xf>
    <xf numFmtId="0" fontId="1" fillId="0" borderId="4" xfId="1" applyFont="1" applyFill="1" applyBorder="1" applyAlignment="1" applyProtection="1">
      <alignment vertical="top" wrapText="1"/>
    </xf>
    <xf numFmtId="49" fontId="1" fillId="3" borderId="4" xfId="1" applyNumberFormat="1" applyFont="1" applyFill="1" applyBorder="1" applyAlignment="1" applyProtection="1">
      <alignment vertical="top" wrapText="1"/>
      <protection locked="0"/>
    </xf>
    <xf numFmtId="0" fontId="1" fillId="3" borderId="4" xfId="1" applyFont="1" applyFill="1" applyBorder="1" applyAlignment="1" applyProtection="1">
      <alignment vertical="top"/>
      <protection locked="0"/>
    </xf>
    <xf numFmtId="0" fontId="1" fillId="0" borderId="0" xfId="1" applyFont="1" applyFill="1" applyBorder="1" applyAlignment="1" applyProtection="1">
      <alignment vertical="top" wrapText="1"/>
    </xf>
    <xf numFmtId="49" fontId="0" fillId="3" borderId="4" xfId="0" applyNumberFormat="1" applyFill="1" applyBorder="1" applyAlignment="1">
      <alignment vertical="top" wrapText="1"/>
    </xf>
    <xf numFmtId="49" fontId="1" fillId="3" borderId="0" xfId="1" applyNumberFormat="1" applyFont="1" applyFill="1" applyBorder="1" applyAlignment="1" applyProtection="1">
      <alignment vertical="top" wrapText="1"/>
      <protection locked="0"/>
    </xf>
    <xf numFmtId="0" fontId="0" fillId="3" borderId="4" xfId="0" applyFill="1" applyBorder="1" applyAlignment="1">
      <alignment vertical="top" wrapText="1"/>
    </xf>
    <xf numFmtId="49" fontId="1" fillId="0" borderId="4" xfId="1" quotePrefix="1" applyNumberFormat="1" applyFont="1" applyFill="1" applyBorder="1" applyAlignment="1" applyProtection="1">
      <alignment vertical="top" wrapText="1"/>
    </xf>
    <xf numFmtId="49" fontId="1" fillId="0" borderId="4" xfId="1" applyNumberFormat="1" applyFont="1" applyFill="1" applyBorder="1" applyAlignment="1" applyProtection="1">
      <alignment vertical="top" wrapText="1"/>
    </xf>
    <xf numFmtId="0" fontId="10" fillId="9" borderId="4" xfId="1" applyFont="1" applyFill="1" applyBorder="1" applyAlignment="1" applyProtection="1">
      <alignment horizontal="left" vertical="top"/>
    </xf>
    <xf numFmtId="0" fontId="10" fillId="9" borderId="4" xfId="1" applyFont="1" applyFill="1" applyBorder="1" applyAlignment="1" applyProtection="1">
      <alignment horizontal="left" vertical="top" wrapText="1"/>
    </xf>
    <xf numFmtId="0" fontId="10" fillId="9" borderId="4" xfId="1" quotePrefix="1" applyFont="1" applyFill="1" applyBorder="1" applyAlignment="1" applyProtection="1">
      <alignment horizontal="left" vertical="top" wrapText="1"/>
    </xf>
    <xf numFmtId="0" fontId="10" fillId="9" borderId="4" xfId="1" applyFont="1" applyFill="1" applyBorder="1" applyAlignment="1" applyProtection="1">
      <alignment horizontal="center" vertical="top" wrapText="1"/>
    </xf>
    <xf numFmtId="0" fontId="10" fillId="9" borderId="4" xfId="1" applyFont="1" applyFill="1" applyBorder="1" applyAlignment="1" applyProtection="1">
      <alignment horizontal="center" vertical="top"/>
    </xf>
    <xf numFmtId="14" fontId="10" fillId="9" borderId="4" xfId="1" applyNumberFormat="1" applyFont="1" applyFill="1" applyBorder="1" applyAlignment="1" applyProtection="1">
      <alignment horizontal="center" vertical="top"/>
    </xf>
    <xf numFmtId="0" fontId="6" fillId="3" borderId="0" xfId="1" applyFont="1" applyFill="1" applyAlignment="1" applyProtection="1">
      <alignment horizontal="center"/>
    </xf>
    <xf numFmtId="0" fontId="2" fillId="5" borderId="4" xfId="0" applyFont="1" applyFill="1" applyBorder="1" applyAlignment="1" applyProtection="1">
      <alignment horizontal="center"/>
      <protection locked="0"/>
    </xf>
    <xf numFmtId="0" fontId="6" fillId="3" borderId="0" xfId="0" applyFont="1" applyFill="1" applyAlignment="1" applyProtection="1">
      <alignment horizontal="center"/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3" borderId="14" xfId="0" applyFont="1" applyFill="1" applyBorder="1" applyAlignment="1" applyProtection="1">
      <alignment horizontal="center"/>
      <protection locked="0"/>
    </xf>
  </cellXfs>
  <cellStyles count="2">
    <cellStyle name="Normal" xfId="0" builtinId="0"/>
    <cellStyle name="Normal 2" xfId="1" xr:uid="{00000000-0005-0000-0000-000001000000}"/>
  </cellStyles>
  <dxfs count="41">
    <dxf>
      <fill>
        <patternFill>
          <bgColor rgb="FFFF99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99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99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99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99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9900"/>
        </patternFill>
      </fill>
    </dxf>
  </dxfs>
  <tableStyles count="0" defaultTableStyle="TableStyleMedium2" defaultPivotStyle="PivotStyleLight16"/>
  <colors>
    <mruColors>
      <color rgb="FF0000FF"/>
      <color rgb="FFFF9900"/>
      <color rgb="FFF37321"/>
      <color rgb="FFC34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Risk Assessment Heat</a:t>
            </a:r>
            <a:r>
              <a:rPr lang="en-US" baseline="0"/>
              <a:t> Map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5993746935479217"/>
          <c:y val="0.10504802633407587"/>
          <c:w val="0.48974682010902482"/>
          <c:h val="0.68980491659420029"/>
        </c:manualLayout>
      </c:layout>
      <c:scatterChart>
        <c:scatterStyle val="lineMarker"/>
        <c:varyColors val="0"/>
        <c:ser>
          <c:idx val="0"/>
          <c:order val="0"/>
          <c:tx>
            <c:strRef>
              <c:f>'Risk Assessment'!$H$8</c:f>
              <c:strCache>
                <c:ptCount val="1"/>
                <c:pt idx="0">
                  <c:v>Likelihood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3"/>
            <c:spPr>
              <a:solidFill>
                <a:schemeClr val="tx1"/>
              </a:solidFill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Current processing capacity is not sufficient to meet availability commitments. - cloud performance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2A-479D-B8E7-39165E512F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Data Availability - dos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2A-479D-B8E7-39165E512F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Data Availability - corruption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2A-479D-B8E7-39165E512F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Data Availability - ransomware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2A-479D-B8E7-39165E512F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Data Breach - third party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2A-479D-B8E7-39165E512FB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Data Breach - unauthorized access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12A-479D-B8E7-39165E512FB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Internal Sabotage - malicious employee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2A-479D-B8E7-39165E512FB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Natural disaster - corp office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2A-479D-B8E7-39165E512FB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PII data loss - uneducated user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2A-479D-B8E7-39165E512FB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PII data loss - test environments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12A-479D-B8E7-39165E512FB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Recovery plans are not suitably designed - full failover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12A-479D-B8E7-39165E512FB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Recovery plans are not suitably designed - backups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12A-479D-B8E7-39165E512FB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Recovery plans are not suitably designed - available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12A-479D-B8E7-39165E512FB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Unauthorized access to confidential information is obtained. - mitm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12A-479D-B8E7-39165E512FB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Unauthorized changes - code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12A-479D-B8E7-39165E512FB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Natural disaster - azure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12A-479D-B8E7-39165E512FB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Company does not respond to external  business environment - regulatory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12A-479D-B8E7-39165E512FB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Company does not respond to external  business environment - market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12A-479D-B8E7-39165E512FB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Client satisfaction is not met - feedback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12A-479D-B8E7-39165E512FB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Loss of key vendors - third parties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12A-479D-B8E7-39165E512FB0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Assessment'!$G$10:$G$28</c:f>
              <c:numCache>
                <c:formatCode>General</c:formatCode>
                <c:ptCount val="19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'Risk Assessment'!$H$10:$H$28</c:f>
              <c:numCache>
                <c:formatCode>General</c:formatCode>
                <c:ptCount val="19"/>
                <c:pt idx="0">
                  <c:v>2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F1B-4464-8918-71B586EDF80B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axId val="317607296"/>
        <c:axId val="317643392"/>
      </c:scatterChart>
      <c:valAx>
        <c:axId val="317607296"/>
        <c:scaling>
          <c:orientation val="minMax"/>
          <c:max val="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/>
                  <a:t>IMPACT</a:t>
                </a:r>
              </a:p>
            </c:rich>
          </c:tx>
          <c:layout>
            <c:manualLayout>
              <c:xMode val="edge"/>
              <c:yMode val="edge"/>
              <c:x val="0.47496466787805375"/>
              <c:y val="0.8718416116043157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17643392"/>
        <c:crosses val="autoZero"/>
        <c:crossBetween val="midCat"/>
        <c:minorUnit val="1"/>
      </c:valAx>
      <c:valAx>
        <c:axId val="317643392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200"/>
                  <a:t>LIKELIHOOD</a:t>
                </a:r>
              </a:p>
            </c:rich>
          </c:tx>
          <c:layout>
            <c:manualLayout>
              <c:xMode val="edge"/>
              <c:yMode val="edge"/>
              <c:x val="0.16979804447520983"/>
              <c:y val="0.3880896450917838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17607296"/>
        <c:crosses val="autoZero"/>
        <c:crossBetween val="midCat"/>
        <c:minorUnit val="1"/>
      </c:valAx>
      <c:spPr>
        <a:gradFill flip="none" rotWithShape="1">
          <a:gsLst>
            <a:gs pos="0">
              <a:srgbClr val="00B050"/>
            </a:gs>
            <a:gs pos="45000">
              <a:srgbClr val="FFFF00"/>
            </a:gs>
            <a:gs pos="10000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solidFill>
            <a:schemeClr val="accent1"/>
          </a:solidFill>
        </a:ln>
      </c:spPr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3">
    <tabColor rgb="FFFFFF00"/>
  </sheetPr>
  <sheetViews>
    <sheetView workbookViewId="0"/>
  </sheetViews>
  <pageMargins left="0.7" right="0.7" top="0.75" bottom="0.75" header="0.3" footer="0.3"/>
  <pageSetup orientation="landscape" r:id="rId1"/>
  <headerFooter>
    <oddHeader>&amp;CRisk Assessment Tool&amp;R&amp;G</oddHeader>
  </headerFooter>
  <drawing r:id="rId2"/>
  <legacyDrawingHF r:id="rId3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[0]!CreateDataLabels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0.26264</cdr:x>
      <cdr:y>0.86849</cdr:y>
    </cdr:from>
    <cdr:to>
      <cdr:x>0.76374</cdr:x>
      <cdr:y>0.91993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276497" y="5451490"/>
          <a:ext cx="4343377" cy="32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Insignificant                                                                                    Catastrophic</a:t>
          </a:r>
        </a:p>
      </cdr:txBody>
    </cdr:sp>
  </cdr:relSizeAnchor>
  <cdr:relSizeAnchor xmlns:cdr="http://schemas.openxmlformats.org/drawingml/2006/chartDrawing">
    <cdr:from>
      <cdr:x>0.16778</cdr:x>
      <cdr:y>0.12413</cdr:y>
    </cdr:from>
    <cdr:to>
      <cdr:x>0.1934</cdr:x>
      <cdr:y>0.80189</cdr:y>
    </cdr:to>
    <cdr:sp macro="" textlink="">
      <cdr:nvSpPr>
        <cdr:cNvPr id="5" name="TextBox 1"/>
        <cdr:cNvSpPr txBox="1"/>
      </cdr:nvSpPr>
      <cdr:spPr>
        <a:xfrm xmlns:a="http://schemas.openxmlformats.org/drawingml/2006/main" rot="16200000">
          <a:off x="-561814" y="2795299"/>
          <a:ext cx="4254283" cy="22206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aseline="0"/>
            <a:t>Low                                                                                                            High                                                                                      </a:t>
          </a:r>
          <a:endParaRPr lang="en-US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G368"/>
  <sheetViews>
    <sheetView tabSelected="1" zoomScale="74" zoomScaleNormal="74" zoomScaleSheetLayoutView="85" workbookViewId="0">
      <selection activeCell="A6" sqref="A6"/>
    </sheetView>
  </sheetViews>
  <sheetFormatPr defaultColWidth="9.140625" defaultRowHeight="15" x14ac:dyDescent="0.25"/>
  <cols>
    <col min="1" max="1" width="36.85546875" style="5" customWidth="1"/>
    <col min="2" max="2" width="40.7109375" style="5" customWidth="1"/>
    <col min="3" max="3" width="67.5703125" style="5" customWidth="1"/>
    <col min="4" max="4" width="40.7109375" style="5" customWidth="1"/>
    <col min="5" max="5" width="18.140625" style="5" customWidth="1"/>
    <col min="6" max="6" width="15.7109375" style="7" customWidth="1"/>
    <col min="7" max="7" width="12.7109375" style="7" customWidth="1"/>
    <col min="8" max="9" width="12.7109375" style="5" customWidth="1"/>
    <col min="10" max="10" width="37.7109375" style="5" customWidth="1"/>
    <col min="11" max="11" width="32.5703125" style="5" customWidth="1"/>
    <col min="12" max="12" width="32.7109375" style="5" customWidth="1"/>
    <col min="13" max="13" width="30.5703125" style="5" customWidth="1"/>
    <col min="14" max="16384" width="9.140625" style="5"/>
  </cols>
  <sheetData>
    <row r="1" spans="1:13" ht="21" x14ac:dyDescent="0.35">
      <c r="A1" s="78" t="s">
        <v>47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</row>
    <row r="2" spans="1:13" ht="21" x14ac:dyDescent="0.35">
      <c r="A2" s="78" t="s">
        <v>11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</row>
    <row r="3" spans="1:13" ht="18.75" x14ac:dyDescent="0.25">
      <c r="A3" s="57" t="s">
        <v>0</v>
      </c>
      <c r="B3" s="60"/>
      <c r="D3" s="4"/>
      <c r="E3" s="4"/>
      <c r="F3" s="6"/>
      <c r="G3" s="6"/>
      <c r="H3" s="4"/>
      <c r="I3" s="4"/>
      <c r="J3" s="4"/>
      <c r="K3" s="4"/>
      <c r="L3" s="4"/>
      <c r="M3" s="4"/>
    </row>
    <row r="4" spans="1:13" ht="18.75" x14ac:dyDescent="0.25">
      <c r="A4" s="58" t="s">
        <v>32</v>
      </c>
      <c r="B4" s="59"/>
      <c r="D4" s="4"/>
      <c r="E4" s="4"/>
      <c r="F4" s="6"/>
      <c r="G4" s="6"/>
      <c r="H4" s="4"/>
      <c r="I4" s="4"/>
      <c r="J4" s="4"/>
      <c r="K4" s="4"/>
      <c r="L4" s="4"/>
      <c r="M4" s="4"/>
    </row>
    <row r="5" spans="1:13" ht="18.75" x14ac:dyDescent="0.25">
      <c r="A5" s="58" t="s">
        <v>14</v>
      </c>
      <c r="B5" s="59"/>
      <c r="D5" s="4"/>
      <c r="E5" s="4"/>
      <c r="F5" s="6"/>
      <c r="G5" s="6"/>
      <c r="H5" s="4"/>
      <c r="I5" s="4"/>
      <c r="J5" s="4"/>
      <c r="K5" s="4"/>
      <c r="L5" s="4"/>
      <c r="M5" s="4"/>
    </row>
    <row r="6" spans="1:13" ht="15.75" x14ac:dyDescent="0.25">
      <c r="A6" s="4"/>
      <c r="B6" s="4"/>
      <c r="C6" s="9"/>
      <c r="D6" s="4"/>
      <c r="E6" s="4"/>
      <c r="F6" s="6"/>
      <c r="G6" s="6"/>
      <c r="H6" s="4"/>
      <c r="I6" s="4"/>
      <c r="J6" s="4"/>
      <c r="K6" s="4"/>
      <c r="L6" s="4"/>
      <c r="M6" s="4"/>
    </row>
    <row r="7" spans="1:13" ht="15.75" x14ac:dyDescent="0.25">
      <c r="A7" s="18"/>
      <c r="B7" s="18"/>
      <c r="C7" s="18"/>
      <c r="D7" s="18"/>
      <c r="E7" s="20"/>
      <c r="F7" s="20"/>
      <c r="G7" s="79" t="s">
        <v>27</v>
      </c>
      <c r="H7" s="79"/>
      <c r="I7" s="79"/>
      <c r="J7" s="18"/>
      <c r="K7" s="18"/>
      <c r="L7" s="15"/>
    </row>
    <row r="8" spans="1:13" ht="31.5" x14ac:dyDescent="0.25">
      <c r="A8" s="19" t="s">
        <v>33</v>
      </c>
      <c r="B8" s="19" t="s">
        <v>31</v>
      </c>
      <c r="C8" s="19" t="s">
        <v>34</v>
      </c>
      <c r="D8" s="19" t="s">
        <v>13</v>
      </c>
      <c r="E8" s="19" t="s">
        <v>3</v>
      </c>
      <c r="F8" s="19" t="s">
        <v>4</v>
      </c>
      <c r="G8" s="41" t="s">
        <v>3</v>
      </c>
      <c r="H8" s="41" t="s">
        <v>4</v>
      </c>
      <c r="I8" s="41" t="s">
        <v>10</v>
      </c>
      <c r="J8" s="21" t="s">
        <v>29</v>
      </c>
      <c r="K8" s="19" t="s">
        <v>12</v>
      </c>
      <c r="L8" s="17" t="s">
        <v>37</v>
      </c>
    </row>
    <row r="9" spans="1:13" ht="47.25" x14ac:dyDescent="0.25">
      <c r="A9" s="72" t="s">
        <v>115</v>
      </c>
      <c r="B9" s="73" t="s">
        <v>46</v>
      </c>
      <c r="C9" s="74" t="s">
        <v>39</v>
      </c>
      <c r="D9" s="74" t="s">
        <v>45</v>
      </c>
      <c r="E9" s="75" t="s">
        <v>8</v>
      </c>
      <c r="F9" s="75" t="s">
        <v>23</v>
      </c>
      <c r="G9" s="76">
        <v>3</v>
      </c>
      <c r="H9" s="76">
        <v>2</v>
      </c>
      <c r="I9" s="75">
        <v>6</v>
      </c>
      <c r="J9" s="74" t="s">
        <v>44</v>
      </c>
      <c r="K9" s="76" t="s">
        <v>35</v>
      </c>
      <c r="L9" s="77">
        <v>42734</v>
      </c>
    </row>
    <row r="10" spans="1:13" ht="126" x14ac:dyDescent="0.25">
      <c r="A10" s="54" t="s">
        <v>48</v>
      </c>
      <c r="B10" s="63" t="s">
        <v>49</v>
      </c>
      <c r="C10" s="64" t="s">
        <v>105</v>
      </c>
      <c r="D10" s="11"/>
      <c r="E10" s="45" t="s">
        <v>8</v>
      </c>
      <c r="F10" s="45" t="s">
        <v>23</v>
      </c>
      <c r="G10" s="10">
        <f>VLOOKUP(E10,IMPACT_LIKELIHOOD_DROPDOWN!$A$6:$B$10,2,FALSE)</f>
        <v>3</v>
      </c>
      <c r="H10" s="10">
        <f>VLOOKUP(F10,IMPACT_LIKELIHOOD_DROPDOWN!$A$14:$B$18,2,FALSE)</f>
        <v>2</v>
      </c>
      <c r="I10" s="26">
        <f t="shared" ref="I10:I28" si="0">G10*H10</f>
        <v>6</v>
      </c>
      <c r="J10" s="44" t="s">
        <v>98</v>
      </c>
      <c r="K10" s="44"/>
      <c r="L10" s="46">
        <v>43100</v>
      </c>
    </row>
    <row r="11" spans="1:13" ht="189" x14ac:dyDescent="0.25">
      <c r="A11" s="65" t="s">
        <v>50</v>
      </c>
      <c r="B11" s="66" t="s">
        <v>51</v>
      </c>
      <c r="C11" s="64" t="s">
        <v>106</v>
      </c>
      <c r="D11" s="11"/>
      <c r="E11" s="45" t="s">
        <v>7</v>
      </c>
      <c r="F11" s="45" t="s">
        <v>22</v>
      </c>
      <c r="G11" s="10">
        <f>VLOOKUP(E11,IMPACT_LIKELIHOOD_DROPDOWN!$A$6:$B$10,2,FALSE)</f>
        <v>1</v>
      </c>
      <c r="H11" s="10">
        <f>VLOOKUP(F11,IMPACT_LIKELIHOOD_DROPDOWN!$A$14:$B$18,2,FALSE)</f>
        <v>1</v>
      </c>
      <c r="I11" s="26">
        <f t="shared" si="0"/>
        <v>1</v>
      </c>
      <c r="J11" s="44" t="s">
        <v>99</v>
      </c>
      <c r="K11" s="44"/>
      <c r="L11" s="46">
        <v>43100</v>
      </c>
    </row>
    <row r="12" spans="1:13" ht="94.5" x14ac:dyDescent="0.25">
      <c r="A12" s="65" t="s">
        <v>52</v>
      </c>
      <c r="B12" s="63" t="s">
        <v>53</v>
      </c>
      <c r="C12" s="64" t="s">
        <v>54</v>
      </c>
      <c r="D12" s="11"/>
      <c r="E12" s="45" t="s">
        <v>21</v>
      </c>
      <c r="F12" s="45" t="s">
        <v>26</v>
      </c>
      <c r="G12" s="10">
        <f>VLOOKUP(E12,IMPACT_LIKELIHOOD_DROPDOWN!$A$6:$B$10,2,FALSE)</f>
        <v>5</v>
      </c>
      <c r="H12" s="10">
        <f>VLOOKUP(F12,IMPACT_LIKELIHOOD_DROPDOWN!$A$14:$B$18,2,FALSE)</f>
        <v>5</v>
      </c>
      <c r="I12" s="26">
        <f t="shared" si="0"/>
        <v>25</v>
      </c>
      <c r="J12" s="44" t="s">
        <v>100</v>
      </c>
      <c r="K12" s="44"/>
      <c r="L12" s="47"/>
    </row>
    <row r="13" spans="1:13" ht="141.75" x14ac:dyDescent="0.25">
      <c r="A13" s="65" t="s">
        <v>55</v>
      </c>
      <c r="B13" s="63" t="s">
        <v>56</v>
      </c>
      <c r="C13" s="67" t="s">
        <v>57</v>
      </c>
      <c r="D13" s="11"/>
      <c r="E13" s="45" t="s">
        <v>7</v>
      </c>
      <c r="F13" s="45" t="s">
        <v>26</v>
      </c>
      <c r="G13" s="10">
        <f>VLOOKUP(E13,IMPACT_LIKELIHOOD_DROPDOWN!$A$6:$B$10,2,FALSE)</f>
        <v>1</v>
      </c>
      <c r="H13" s="10">
        <f>VLOOKUP(F13,IMPACT_LIKELIHOOD_DROPDOWN!$A$14:$B$18,2,FALSE)</f>
        <v>5</v>
      </c>
      <c r="I13" s="26">
        <f t="shared" si="0"/>
        <v>5</v>
      </c>
      <c r="J13" s="44" t="s">
        <v>101</v>
      </c>
      <c r="K13" s="44"/>
      <c r="L13" s="46">
        <v>43100</v>
      </c>
    </row>
    <row r="14" spans="1:13" ht="173.25" x14ac:dyDescent="0.25">
      <c r="A14" s="65" t="s">
        <v>58</v>
      </c>
      <c r="B14" s="63" t="s">
        <v>59</v>
      </c>
      <c r="C14" s="64" t="s">
        <v>107</v>
      </c>
      <c r="D14" s="39"/>
      <c r="E14" s="45"/>
      <c r="F14" s="45"/>
      <c r="G14" s="10" t="e">
        <f>VLOOKUP(E14,IMPACT_LIKELIHOOD_DROPDOWN!$A$6:$B$10,2,FALSE)</f>
        <v>#N/A</v>
      </c>
      <c r="H14" s="10" t="e">
        <f>VLOOKUP(F14,IMPACT_LIKELIHOOD_DROPDOWN!$A$14:$B$18,2,FALSE)</f>
        <v>#N/A</v>
      </c>
      <c r="I14" s="26" t="e">
        <f t="shared" si="0"/>
        <v>#N/A</v>
      </c>
      <c r="J14" s="44" t="s">
        <v>100</v>
      </c>
      <c r="K14" s="56"/>
      <c r="L14" s="52"/>
    </row>
    <row r="15" spans="1:13" ht="126" x14ac:dyDescent="0.25">
      <c r="A15" s="65" t="s">
        <v>60</v>
      </c>
      <c r="B15" s="54" t="s">
        <v>61</v>
      </c>
      <c r="C15" s="64" t="s">
        <v>62</v>
      </c>
      <c r="D15" s="11"/>
      <c r="E15" s="45"/>
      <c r="F15" s="45"/>
      <c r="G15" s="10" t="e">
        <f>VLOOKUP(E15,IMPACT_LIKELIHOOD_DROPDOWN!$A$6:$B$10,2,FALSE)</f>
        <v>#N/A</v>
      </c>
      <c r="H15" s="10" t="e">
        <f>VLOOKUP(F15,IMPACT_LIKELIHOOD_DROPDOWN!$A$14:$B$18,2,FALSE)</f>
        <v>#N/A</v>
      </c>
      <c r="I15" s="26" t="e">
        <f t="shared" si="0"/>
        <v>#N/A</v>
      </c>
      <c r="J15" s="44" t="s">
        <v>100</v>
      </c>
      <c r="K15" s="44"/>
      <c r="L15" s="47"/>
    </row>
    <row r="16" spans="1:13" ht="220.5" x14ac:dyDescent="0.25">
      <c r="A16" s="65" t="s">
        <v>63</v>
      </c>
      <c r="B16" s="54" t="s">
        <v>64</v>
      </c>
      <c r="C16" s="68" t="s">
        <v>65</v>
      </c>
      <c r="D16" s="11"/>
      <c r="E16" s="45"/>
      <c r="F16" s="45"/>
      <c r="G16" s="10" t="e">
        <f>VLOOKUP(E16,IMPACT_LIKELIHOOD_DROPDOWN!$A$6:$B$10,2,FALSE)</f>
        <v>#N/A</v>
      </c>
      <c r="H16" s="10" t="e">
        <f>VLOOKUP(F16,IMPACT_LIKELIHOOD_DROPDOWN!$A$14:$B$18,2,FALSE)</f>
        <v>#N/A</v>
      </c>
      <c r="I16" s="26" t="e">
        <f t="shared" si="0"/>
        <v>#N/A</v>
      </c>
      <c r="J16" s="44" t="s">
        <v>100</v>
      </c>
      <c r="K16" s="44"/>
      <c r="L16" s="47"/>
    </row>
    <row r="17" spans="1:33" ht="60" x14ac:dyDescent="0.25">
      <c r="A17" s="65" t="s">
        <v>66</v>
      </c>
      <c r="B17" s="69" t="s">
        <v>108</v>
      </c>
      <c r="C17" s="69" t="s">
        <v>109</v>
      </c>
      <c r="D17" s="11"/>
      <c r="E17" s="45"/>
      <c r="F17" s="45"/>
      <c r="G17" s="10" t="e">
        <f>VLOOKUP(E17,IMPACT_LIKELIHOOD_DROPDOWN!$A$6:$B$10,2,FALSE)</f>
        <v>#N/A</v>
      </c>
      <c r="H17" s="10" t="e">
        <f>VLOOKUP(F17,IMPACT_LIKELIHOOD_DROPDOWN!$A$14:$B$18,2,FALSE)</f>
        <v>#N/A</v>
      </c>
      <c r="I17" s="26" t="e">
        <f t="shared" si="0"/>
        <v>#N/A</v>
      </c>
      <c r="J17" s="44" t="s">
        <v>100</v>
      </c>
      <c r="K17" s="44"/>
      <c r="L17" s="47"/>
    </row>
    <row r="18" spans="1:33" ht="267.75" x14ac:dyDescent="0.25">
      <c r="A18" s="65" t="s">
        <v>67</v>
      </c>
      <c r="B18" s="63" t="s">
        <v>68</v>
      </c>
      <c r="C18" s="70" t="s">
        <v>110</v>
      </c>
      <c r="D18" s="39"/>
      <c r="E18" s="45"/>
      <c r="F18" s="45"/>
      <c r="G18" s="10" t="e">
        <f>VLOOKUP(E18,IMPACT_LIKELIHOOD_DROPDOWN!$A$6:$B$10,2,FALSE)</f>
        <v>#N/A</v>
      </c>
      <c r="H18" s="10" t="e">
        <f>VLOOKUP(F18,IMPACT_LIKELIHOOD_DROPDOWN!$A$14:$B$18,2,FALSE)</f>
        <v>#N/A</v>
      </c>
      <c r="I18" s="26" t="e">
        <f t="shared" si="0"/>
        <v>#N/A</v>
      </c>
      <c r="J18" s="51" t="s">
        <v>102</v>
      </c>
      <c r="K18" s="56"/>
      <c r="L18" s="52">
        <v>43100</v>
      </c>
    </row>
    <row r="19" spans="1:33" ht="63" x14ac:dyDescent="0.25">
      <c r="A19" s="65" t="s">
        <v>69</v>
      </c>
      <c r="B19" s="55" t="s">
        <v>70</v>
      </c>
      <c r="C19" s="64" t="s">
        <v>71</v>
      </c>
      <c r="D19" s="11"/>
      <c r="E19" s="45"/>
      <c r="F19" s="45"/>
      <c r="G19" s="10" t="e">
        <f>VLOOKUP(E19,IMPACT_LIKELIHOOD_DROPDOWN!$A$6:$B$10,2,FALSE)</f>
        <v>#N/A</v>
      </c>
      <c r="H19" s="10" t="e">
        <f>VLOOKUP(F19,IMPACT_LIKELIHOOD_DROPDOWN!$A$14:$B$18,2,FALSE)</f>
        <v>#N/A</v>
      </c>
      <c r="I19" s="26" t="e">
        <f t="shared" si="0"/>
        <v>#N/A</v>
      </c>
      <c r="J19" s="44" t="s">
        <v>100</v>
      </c>
      <c r="K19" s="44"/>
      <c r="L19" s="46"/>
    </row>
    <row r="20" spans="1:33" ht="126" x14ac:dyDescent="0.25">
      <c r="A20" s="54" t="s">
        <v>72</v>
      </c>
      <c r="B20" s="54" t="s">
        <v>73</v>
      </c>
      <c r="C20" s="64" t="s">
        <v>74</v>
      </c>
      <c r="D20" s="11"/>
      <c r="E20" s="45"/>
      <c r="F20" s="45"/>
      <c r="G20" s="10" t="e">
        <f>VLOOKUP(E20,IMPACT_LIKELIHOOD_DROPDOWN!$A$6:$B$10,2,FALSE)</f>
        <v>#N/A</v>
      </c>
      <c r="H20" s="10" t="e">
        <f>VLOOKUP(F20,IMPACT_LIKELIHOOD_DROPDOWN!$A$14:$B$18,2,FALSE)</f>
        <v>#N/A</v>
      </c>
      <c r="I20" s="26" t="e">
        <f t="shared" si="0"/>
        <v>#N/A</v>
      </c>
      <c r="J20" s="44" t="s">
        <v>103</v>
      </c>
      <c r="K20" s="44"/>
      <c r="L20" s="46">
        <v>43100</v>
      </c>
    </row>
    <row r="21" spans="1:33" ht="126" x14ac:dyDescent="0.25">
      <c r="A21" s="54" t="s">
        <v>75</v>
      </c>
      <c r="B21" s="54" t="s">
        <v>76</v>
      </c>
      <c r="C21" s="64" t="s">
        <v>111</v>
      </c>
      <c r="D21" s="11"/>
      <c r="E21" s="45"/>
      <c r="F21" s="45"/>
      <c r="G21" s="10" t="e">
        <f>VLOOKUP(E21,IMPACT_LIKELIHOOD_DROPDOWN!$A$6:$B$10,2,FALSE)</f>
        <v>#N/A</v>
      </c>
      <c r="H21" s="10" t="e">
        <f>VLOOKUP(F21,IMPACT_LIKELIHOOD_DROPDOWN!$A$14:$B$18,2,FALSE)</f>
        <v>#N/A</v>
      </c>
      <c r="I21" s="26" t="e">
        <f t="shared" si="0"/>
        <v>#N/A</v>
      </c>
      <c r="J21" s="44" t="s">
        <v>104</v>
      </c>
      <c r="K21" s="44"/>
      <c r="L21" s="46">
        <v>43100</v>
      </c>
    </row>
    <row r="22" spans="1:33" ht="173.25" x14ac:dyDescent="0.25">
      <c r="A22" s="54" t="s">
        <v>77</v>
      </c>
      <c r="B22" s="54" t="s">
        <v>78</v>
      </c>
      <c r="C22" s="64" t="s">
        <v>79</v>
      </c>
      <c r="D22" s="11"/>
      <c r="E22" s="45"/>
      <c r="F22" s="45"/>
      <c r="G22" s="10" t="e">
        <f>VLOOKUP(E22,IMPACT_LIKELIHOOD_DROPDOWN!$A$6:$B$10,2,FALSE)</f>
        <v>#N/A</v>
      </c>
      <c r="H22" s="10" t="e">
        <f>VLOOKUP(F22,IMPACT_LIKELIHOOD_DROPDOWN!$A$14:$B$18,2,FALSE)</f>
        <v>#N/A</v>
      </c>
      <c r="I22" s="26" t="e">
        <f t="shared" si="0"/>
        <v>#N/A</v>
      </c>
      <c r="J22" s="44" t="s">
        <v>103</v>
      </c>
      <c r="K22" s="44"/>
      <c r="L22" s="46">
        <v>43100</v>
      </c>
    </row>
    <row r="23" spans="1:33" ht="78.75" x14ac:dyDescent="0.25">
      <c r="A23" s="54" t="s">
        <v>80</v>
      </c>
      <c r="B23" s="55" t="s">
        <v>81</v>
      </c>
      <c r="C23" s="64" t="s">
        <v>112</v>
      </c>
      <c r="D23" s="11"/>
      <c r="E23" s="45"/>
      <c r="F23" s="45"/>
      <c r="G23" s="10" t="e">
        <f>VLOOKUP(E23,IMPACT_LIKELIHOOD_DROPDOWN!$A$6:$B$10,2,FALSE)</f>
        <v>#N/A</v>
      </c>
      <c r="H23" s="10" t="e">
        <f>VLOOKUP(F23,IMPACT_LIKELIHOOD_DROPDOWN!$A$14:$B$18,2,FALSE)</f>
        <v>#N/A</v>
      </c>
      <c r="I23" s="26" t="e">
        <f t="shared" si="0"/>
        <v>#N/A</v>
      </c>
      <c r="J23" s="44" t="s">
        <v>100</v>
      </c>
      <c r="K23" s="44"/>
      <c r="L23" s="46"/>
    </row>
    <row r="24" spans="1:33" ht="94.5" x14ac:dyDescent="0.25">
      <c r="A24" s="54" t="s">
        <v>82</v>
      </c>
      <c r="B24" s="54" t="s">
        <v>83</v>
      </c>
      <c r="C24" s="64" t="s">
        <v>84</v>
      </c>
      <c r="D24" s="11"/>
      <c r="E24" s="45"/>
      <c r="F24" s="45"/>
      <c r="G24" s="10" t="e">
        <f>VLOOKUP(E24,IMPACT_LIKELIHOOD_DROPDOWN!$A$6:$B$10,2,FALSE)</f>
        <v>#N/A</v>
      </c>
      <c r="H24" s="10" t="e">
        <f>VLOOKUP(F24,IMPACT_LIKELIHOOD_DROPDOWN!$A$14:$B$18,2,FALSE)</f>
        <v>#N/A</v>
      </c>
      <c r="I24" s="26" t="e">
        <f t="shared" si="0"/>
        <v>#N/A</v>
      </c>
      <c r="J24" s="44" t="s">
        <v>100</v>
      </c>
      <c r="K24" s="44"/>
      <c r="L24" s="47"/>
    </row>
    <row r="25" spans="1:33" ht="204.75" x14ac:dyDescent="0.25">
      <c r="A25" s="54" t="s">
        <v>85</v>
      </c>
      <c r="B25" s="69" t="s">
        <v>86</v>
      </c>
      <c r="C25" s="71" t="s">
        <v>87</v>
      </c>
      <c r="D25" s="11"/>
      <c r="E25" s="45"/>
      <c r="F25" s="45"/>
      <c r="G25" s="10" t="e">
        <f>VLOOKUP(E25,IMPACT_LIKELIHOOD_DROPDOWN!$A$6:$B$10,2,FALSE)</f>
        <v>#N/A</v>
      </c>
      <c r="H25" s="10" t="e">
        <f>VLOOKUP(F25,IMPACT_LIKELIHOOD_DROPDOWN!$A$14:$B$18,2,FALSE)</f>
        <v>#N/A</v>
      </c>
      <c r="I25" s="26" t="e">
        <f t="shared" si="0"/>
        <v>#N/A</v>
      </c>
      <c r="J25" s="44" t="s">
        <v>103</v>
      </c>
      <c r="K25" s="44"/>
      <c r="L25" s="46">
        <v>43100</v>
      </c>
    </row>
    <row r="26" spans="1:33" ht="78.75" x14ac:dyDescent="0.25">
      <c r="A26" s="54" t="s">
        <v>88</v>
      </c>
      <c r="B26" s="54" t="s">
        <v>89</v>
      </c>
      <c r="C26" s="64" t="s">
        <v>90</v>
      </c>
      <c r="D26" s="11"/>
      <c r="E26" s="45"/>
      <c r="F26" s="45"/>
      <c r="G26" s="10" t="e">
        <f>VLOOKUP(E26,IMPACT_LIKELIHOOD_DROPDOWN!$A$6:$B$10,2,FALSE)</f>
        <v>#N/A</v>
      </c>
      <c r="H26" s="10" t="e">
        <f>VLOOKUP(F26,IMPACT_LIKELIHOOD_DROPDOWN!$A$14:$B$18,2,FALSE)</f>
        <v>#N/A</v>
      </c>
      <c r="I26" s="26" t="e">
        <f t="shared" si="0"/>
        <v>#N/A</v>
      </c>
      <c r="J26" s="44" t="s">
        <v>100</v>
      </c>
      <c r="K26" s="44"/>
      <c r="L26" s="47"/>
    </row>
    <row r="27" spans="1:33" ht="157.5" x14ac:dyDescent="0.25">
      <c r="A27" s="54" t="s">
        <v>91</v>
      </c>
      <c r="B27" s="54" t="s">
        <v>113</v>
      </c>
      <c r="C27" s="64" t="s">
        <v>92</v>
      </c>
      <c r="D27" s="11"/>
      <c r="E27" s="45"/>
      <c r="F27" s="45"/>
      <c r="G27" s="10" t="e">
        <f>VLOOKUP(E27,IMPACT_LIKELIHOOD_DROPDOWN!$A$6:$B$10,2,FALSE)</f>
        <v>#N/A</v>
      </c>
      <c r="H27" s="10" t="e">
        <f>VLOOKUP(F27,IMPACT_LIKELIHOOD_DROPDOWN!$A$14:$B$18,2,FALSE)</f>
        <v>#N/A</v>
      </c>
      <c r="I27" s="26" t="e">
        <f t="shared" si="0"/>
        <v>#N/A</v>
      </c>
      <c r="J27" s="44" t="s">
        <v>100</v>
      </c>
      <c r="K27" s="44"/>
      <c r="L27" s="47"/>
    </row>
    <row r="28" spans="1:33" s="11" customFormat="1" ht="204.75" x14ac:dyDescent="0.25">
      <c r="A28" s="54" t="s">
        <v>93</v>
      </c>
      <c r="B28" s="54" t="s">
        <v>94</v>
      </c>
      <c r="C28" s="54" t="s">
        <v>95</v>
      </c>
      <c r="E28" s="45"/>
      <c r="F28" s="44"/>
      <c r="G28" s="10" t="e">
        <f>VLOOKUP(E28,IMPACT_LIKELIHOOD_DROPDOWN!$A$6:$B$10,2,FALSE)</f>
        <v>#N/A</v>
      </c>
      <c r="H28" s="10" t="e">
        <f>VLOOKUP(F28,IMPACT_LIKELIHOOD_DROPDOWN!$A$14:$B$18,2,FALSE)</f>
        <v>#N/A</v>
      </c>
      <c r="I28" s="26" t="e">
        <f t="shared" si="0"/>
        <v>#N/A</v>
      </c>
      <c r="J28" s="44" t="s">
        <v>100</v>
      </c>
      <c r="K28" s="44"/>
      <c r="L28" s="47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33" s="11" customFormat="1" ht="204.75" x14ac:dyDescent="0.25">
      <c r="A29" s="54" t="s">
        <v>96</v>
      </c>
      <c r="B29" s="54" t="s">
        <v>97</v>
      </c>
      <c r="C29" s="54" t="s">
        <v>114</v>
      </c>
      <c r="E29" s="45"/>
      <c r="F29" s="44"/>
      <c r="G29" s="10" t="e">
        <f>VLOOKUP(E29,IMPACT_LIKELIHOOD_DROPDOWN!$A$6:$B$10,2,FALSE)</f>
        <v>#N/A</v>
      </c>
      <c r="H29" s="10" t="e">
        <f>VLOOKUP(F29,IMPACT_LIKELIHOOD_DROPDOWN!$A$14:$B$18,2,FALSE)</f>
        <v>#N/A</v>
      </c>
      <c r="I29" s="26" t="e">
        <f t="shared" ref="I29" si="1">G29*H29</f>
        <v>#N/A</v>
      </c>
      <c r="J29" s="44" t="s">
        <v>100</v>
      </c>
      <c r="K29" s="44"/>
      <c r="L29" s="47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1:33" s="4" customFormat="1" x14ac:dyDescent="0.25">
      <c r="F30" s="6"/>
      <c r="G30" s="6"/>
      <c r="L30" s="6"/>
      <c r="M30" s="6"/>
    </row>
    <row r="31" spans="1:33" s="4" customFormat="1" x14ac:dyDescent="0.25">
      <c r="F31" s="6"/>
      <c r="G31" s="6"/>
      <c r="L31" s="6"/>
      <c r="M31" s="6"/>
    </row>
    <row r="32" spans="1:33" s="4" customFormat="1" x14ac:dyDescent="0.25">
      <c r="F32" s="6"/>
      <c r="G32" s="6"/>
      <c r="L32" s="6"/>
      <c r="M32" s="6"/>
    </row>
    <row r="33" spans="6:13" s="4" customFormat="1" x14ac:dyDescent="0.25">
      <c r="F33" s="6"/>
      <c r="G33" s="6"/>
      <c r="L33" s="6"/>
      <c r="M33" s="6"/>
    </row>
    <row r="34" spans="6:13" s="4" customFormat="1" x14ac:dyDescent="0.25">
      <c r="F34" s="6"/>
      <c r="G34" s="6"/>
      <c r="M34" s="6"/>
    </row>
    <row r="35" spans="6:13" s="4" customFormat="1" x14ac:dyDescent="0.25">
      <c r="F35" s="6"/>
      <c r="G35" s="6"/>
      <c r="M35" s="6"/>
    </row>
    <row r="36" spans="6:13" s="4" customFormat="1" x14ac:dyDescent="0.25">
      <c r="F36" s="6"/>
      <c r="G36" s="6"/>
      <c r="M36" s="6"/>
    </row>
    <row r="37" spans="6:13" s="4" customFormat="1" x14ac:dyDescent="0.25">
      <c r="F37" s="6"/>
      <c r="G37" s="6"/>
      <c r="M37" s="6"/>
    </row>
    <row r="38" spans="6:13" s="4" customFormat="1" x14ac:dyDescent="0.25">
      <c r="F38" s="6"/>
      <c r="G38" s="6"/>
      <c r="M38" s="6"/>
    </row>
    <row r="39" spans="6:13" s="4" customFormat="1" x14ac:dyDescent="0.25">
      <c r="F39" s="6"/>
      <c r="G39" s="6"/>
      <c r="M39" s="6"/>
    </row>
    <row r="40" spans="6:13" s="4" customFormat="1" x14ac:dyDescent="0.25">
      <c r="F40" s="6"/>
      <c r="G40" s="6"/>
      <c r="M40" s="6"/>
    </row>
    <row r="41" spans="6:13" s="4" customFormat="1" x14ac:dyDescent="0.25">
      <c r="F41" s="6"/>
      <c r="G41" s="6"/>
      <c r="M41" s="6"/>
    </row>
    <row r="42" spans="6:13" s="4" customFormat="1" x14ac:dyDescent="0.25">
      <c r="F42" s="6"/>
      <c r="G42" s="6"/>
      <c r="M42" s="6"/>
    </row>
    <row r="43" spans="6:13" s="4" customFormat="1" x14ac:dyDescent="0.25">
      <c r="F43" s="6"/>
      <c r="G43" s="6"/>
      <c r="M43" s="6"/>
    </row>
    <row r="44" spans="6:13" s="4" customFormat="1" x14ac:dyDescent="0.25">
      <c r="F44" s="6"/>
      <c r="G44" s="6"/>
      <c r="M44" s="6"/>
    </row>
    <row r="45" spans="6:13" s="4" customFormat="1" x14ac:dyDescent="0.25">
      <c r="F45" s="6"/>
      <c r="G45" s="6"/>
      <c r="M45" s="6"/>
    </row>
    <row r="46" spans="6:13" s="4" customFormat="1" x14ac:dyDescent="0.25">
      <c r="F46" s="6"/>
      <c r="G46" s="6"/>
      <c r="M46" s="6"/>
    </row>
    <row r="47" spans="6:13" s="4" customFormat="1" x14ac:dyDescent="0.25">
      <c r="F47" s="6"/>
      <c r="G47" s="6"/>
      <c r="M47" s="6"/>
    </row>
    <row r="48" spans="6:13" s="4" customFormat="1" x14ac:dyDescent="0.25">
      <c r="F48" s="6"/>
      <c r="G48" s="6"/>
      <c r="M48" s="6"/>
    </row>
    <row r="49" spans="6:13" s="4" customFormat="1" x14ac:dyDescent="0.25">
      <c r="F49" s="6"/>
      <c r="G49" s="6"/>
      <c r="M49" s="6"/>
    </row>
    <row r="50" spans="6:13" s="4" customFormat="1" x14ac:dyDescent="0.25">
      <c r="F50" s="6"/>
      <c r="G50" s="6"/>
      <c r="M50" s="6"/>
    </row>
    <row r="51" spans="6:13" s="4" customFormat="1" x14ac:dyDescent="0.25">
      <c r="F51" s="6"/>
      <c r="G51" s="6"/>
      <c r="M51" s="6"/>
    </row>
    <row r="52" spans="6:13" s="4" customFormat="1" x14ac:dyDescent="0.25">
      <c r="F52" s="6"/>
      <c r="G52" s="6"/>
      <c r="M52" s="6"/>
    </row>
    <row r="53" spans="6:13" s="4" customFormat="1" x14ac:dyDescent="0.25">
      <c r="F53" s="6"/>
      <c r="G53" s="6"/>
      <c r="M53" s="6"/>
    </row>
    <row r="54" spans="6:13" s="4" customFormat="1" x14ac:dyDescent="0.25">
      <c r="F54" s="6"/>
      <c r="G54" s="6"/>
      <c r="M54" s="6"/>
    </row>
    <row r="55" spans="6:13" s="4" customFormat="1" x14ac:dyDescent="0.25">
      <c r="F55" s="6"/>
      <c r="G55" s="6"/>
      <c r="M55" s="6"/>
    </row>
    <row r="56" spans="6:13" s="4" customFormat="1" x14ac:dyDescent="0.25">
      <c r="F56" s="6"/>
      <c r="G56" s="6"/>
      <c r="M56" s="6"/>
    </row>
    <row r="57" spans="6:13" s="4" customFormat="1" x14ac:dyDescent="0.25">
      <c r="F57" s="6"/>
      <c r="G57" s="6"/>
      <c r="M57" s="6"/>
    </row>
    <row r="58" spans="6:13" s="4" customFormat="1" x14ac:dyDescent="0.25">
      <c r="F58" s="6"/>
      <c r="G58" s="6"/>
      <c r="M58" s="6"/>
    </row>
    <row r="59" spans="6:13" s="4" customFormat="1" x14ac:dyDescent="0.25">
      <c r="F59" s="6"/>
      <c r="G59" s="6"/>
      <c r="M59" s="6"/>
    </row>
    <row r="60" spans="6:13" s="4" customFormat="1" x14ac:dyDescent="0.25">
      <c r="F60" s="6"/>
      <c r="G60" s="6"/>
      <c r="M60" s="6"/>
    </row>
    <row r="61" spans="6:13" s="4" customFormat="1" x14ac:dyDescent="0.25">
      <c r="F61" s="6"/>
      <c r="G61" s="6"/>
      <c r="M61" s="6"/>
    </row>
    <row r="62" spans="6:13" s="4" customFormat="1" x14ac:dyDescent="0.25">
      <c r="F62" s="6"/>
      <c r="G62" s="6"/>
      <c r="M62" s="6"/>
    </row>
    <row r="63" spans="6:13" s="4" customFormat="1" x14ac:dyDescent="0.25">
      <c r="F63" s="6"/>
      <c r="G63" s="6"/>
      <c r="M63" s="6"/>
    </row>
    <row r="64" spans="6:13" s="4" customFormat="1" x14ac:dyDescent="0.25">
      <c r="F64" s="6"/>
      <c r="G64" s="6"/>
      <c r="M64" s="6"/>
    </row>
    <row r="65" spans="6:13" s="4" customFormat="1" x14ac:dyDescent="0.25">
      <c r="F65" s="6"/>
      <c r="G65" s="6"/>
      <c r="M65" s="6"/>
    </row>
    <row r="66" spans="6:13" s="4" customFormat="1" x14ac:dyDescent="0.25">
      <c r="F66" s="6"/>
      <c r="G66" s="6"/>
      <c r="M66" s="6"/>
    </row>
    <row r="67" spans="6:13" s="4" customFormat="1" x14ac:dyDescent="0.25">
      <c r="F67" s="6"/>
      <c r="G67" s="6"/>
      <c r="M67" s="6"/>
    </row>
    <row r="68" spans="6:13" s="4" customFormat="1" x14ac:dyDescent="0.25">
      <c r="F68" s="6"/>
      <c r="G68" s="6"/>
      <c r="M68" s="6"/>
    </row>
    <row r="69" spans="6:13" s="4" customFormat="1" x14ac:dyDescent="0.25">
      <c r="F69" s="6"/>
      <c r="G69" s="6"/>
      <c r="M69" s="6"/>
    </row>
    <row r="70" spans="6:13" s="4" customFormat="1" x14ac:dyDescent="0.25">
      <c r="F70" s="6"/>
      <c r="G70" s="6"/>
      <c r="M70" s="6"/>
    </row>
    <row r="71" spans="6:13" s="4" customFormat="1" x14ac:dyDescent="0.25">
      <c r="F71" s="6"/>
      <c r="G71" s="6"/>
      <c r="M71" s="6"/>
    </row>
    <row r="72" spans="6:13" s="4" customFormat="1" x14ac:dyDescent="0.25">
      <c r="F72" s="6"/>
      <c r="G72" s="6"/>
      <c r="M72" s="6"/>
    </row>
    <row r="73" spans="6:13" s="4" customFormat="1" x14ac:dyDescent="0.25">
      <c r="F73" s="6"/>
      <c r="G73" s="6"/>
      <c r="M73" s="6"/>
    </row>
    <row r="74" spans="6:13" s="4" customFormat="1" x14ac:dyDescent="0.25">
      <c r="F74" s="6"/>
      <c r="G74" s="6"/>
      <c r="M74" s="6"/>
    </row>
    <row r="75" spans="6:13" s="4" customFormat="1" x14ac:dyDescent="0.25">
      <c r="F75" s="6"/>
      <c r="G75" s="6"/>
      <c r="M75" s="6"/>
    </row>
    <row r="76" spans="6:13" s="4" customFormat="1" x14ac:dyDescent="0.25">
      <c r="F76" s="6"/>
      <c r="G76" s="6"/>
      <c r="M76" s="6"/>
    </row>
    <row r="77" spans="6:13" s="4" customFormat="1" x14ac:dyDescent="0.25">
      <c r="F77" s="6"/>
      <c r="G77" s="6"/>
      <c r="M77" s="6"/>
    </row>
    <row r="78" spans="6:13" s="4" customFormat="1" x14ac:dyDescent="0.25">
      <c r="F78" s="6"/>
      <c r="G78" s="6"/>
      <c r="M78" s="6"/>
    </row>
    <row r="79" spans="6:13" s="4" customFormat="1" x14ac:dyDescent="0.25">
      <c r="F79" s="6"/>
      <c r="G79" s="6"/>
      <c r="M79" s="6"/>
    </row>
    <row r="80" spans="6:13" s="4" customFormat="1" x14ac:dyDescent="0.25">
      <c r="F80" s="6"/>
      <c r="G80" s="6"/>
      <c r="M80" s="6"/>
    </row>
    <row r="81" spans="6:13" s="4" customFormat="1" x14ac:dyDescent="0.25">
      <c r="F81" s="6"/>
      <c r="G81" s="6"/>
      <c r="M81" s="6"/>
    </row>
    <row r="82" spans="6:13" s="4" customFormat="1" x14ac:dyDescent="0.25">
      <c r="F82" s="6"/>
      <c r="G82" s="6"/>
      <c r="M82" s="6"/>
    </row>
    <row r="83" spans="6:13" s="4" customFormat="1" x14ac:dyDescent="0.25">
      <c r="F83" s="6"/>
      <c r="G83" s="6"/>
      <c r="M83" s="6"/>
    </row>
    <row r="84" spans="6:13" s="4" customFormat="1" x14ac:dyDescent="0.25">
      <c r="F84" s="6"/>
      <c r="G84" s="6"/>
      <c r="M84" s="6"/>
    </row>
    <row r="85" spans="6:13" s="4" customFormat="1" x14ac:dyDescent="0.25">
      <c r="F85" s="6"/>
      <c r="G85" s="6"/>
      <c r="M85" s="6"/>
    </row>
    <row r="86" spans="6:13" s="4" customFormat="1" x14ac:dyDescent="0.25">
      <c r="F86" s="6"/>
      <c r="G86" s="6"/>
      <c r="M86" s="6"/>
    </row>
    <row r="87" spans="6:13" s="4" customFormat="1" x14ac:dyDescent="0.25">
      <c r="F87" s="6"/>
      <c r="G87" s="6"/>
      <c r="M87" s="6"/>
    </row>
    <row r="88" spans="6:13" s="4" customFormat="1" x14ac:dyDescent="0.25">
      <c r="F88" s="6"/>
      <c r="G88" s="6"/>
      <c r="M88" s="6"/>
    </row>
    <row r="89" spans="6:13" s="4" customFormat="1" x14ac:dyDescent="0.25">
      <c r="F89" s="6"/>
      <c r="G89" s="6"/>
      <c r="M89" s="6"/>
    </row>
    <row r="90" spans="6:13" s="4" customFormat="1" x14ac:dyDescent="0.25">
      <c r="F90" s="6"/>
      <c r="G90" s="6"/>
      <c r="M90" s="6"/>
    </row>
    <row r="91" spans="6:13" s="4" customFormat="1" x14ac:dyDescent="0.25">
      <c r="F91" s="6"/>
      <c r="G91" s="6"/>
      <c r="M91" s="6"/>
    </row>
    <row r="92" spans="6:13" s="4" customFormat="1" x14ac:dyDescent="0.25">
      <c r="F92" s="6"/>
      <c r="G92" s="6"/>
      <c r="M92" s="6"/>
    </row>
    <row r="93" spans="6:13" s="4" customFormat="1" x14ac:dyDescent="0.25">
      <c r="F93" s="6"/>
      <c r="G93" s="6"/>
      <c r="M93" s="6"/>
    </row>
    <row r="94" spans="6:13" s="4" customFormat="1" x14ac:dyDescent="0.25">
      <c r="F94" s="6"/>
      <c r="G94" s="6"/>
      <c r="M94" s="6"/>
    </row>
    <row r="95" spans="6:13" s="4" customFormat="1" x14ac:dyDescent="0.25">
      <c r="F95" s="6"/>
      <c r="G95" s="6"/>
      <c r="M95" s="6"/>
    </row>
    <row r="96" spans="6:13" s="4" customFormat="1" x14ac:dyDescent="0.25">
      <c r="F96" s="6"/>
      <c r="G96" s="6"/>
      <c r="M96" s="6"/>
    </row>
    <row r="97" spans="6:13" s="4" customFormat="1" x14ac:dyDescent="0.25">
      <c r="F97" s="6"/>
      <c r="G97" s="6"/>
      <c r="M97" s="6"/>
    </row>
    <row r="98" spans="6:13" s="4" customFormat="1" x14ac:dyDescent="0.25">
      <c r="F98" s="6"/>
      <c r="G98" s="6"/>
      <c r="M98" s="6"/>
    </row>
    <row r="99" spans="6:13" s="4" customFormat="1" x14ac:dyDescent="0.25">
      <c r="F99" s="6"/>
      <c r="G99" s="6"/>
      <c r="M99" s="6"/>
    </row>
    <row r="100" spans="6:13" s="4" customFormat="1" x14ac:dyDescent="0.25">
      <c r="F100" s="6"/>
      <c r="G100" s="6"/>
      <c r="M100" s="6"/>
    </row>
    <row r="101" spans="6:13" s="4" customFormat="1" x14ac:dyDescent="0.25">
      <c r="F101" s="6"/>
      <c r="G101" s="6"/>
      <c r="M101" s="6"/>
    </row>
    <row r="102" spans="6:13" s="4" customFormat="1" x14ac:dyDescent="0.25">
      <c r="F102" s="6"/>
      <c r="G102" s="6"/>
      <c r="M102" s="6"/>
    </row>
    <row r="103" spans="6:13" s="4" customFormat="1" x14ac:dyDescent="0.25">
      <c r="F103" s="6"/>
      <c r="G103" s="6"/>
      <c r="M103" s="6"/>
    </row>
    <row r="104" spans="6:13" s="4" customFormat="1" x14ac:dyDescent="0.25">
      <c r="F104" s="6"/>
      <c r="G104" s="6"/>
      <c r="M104" s="6"/>
    </row>
    <row r="105" spans="6:13" s="4" customFormat="1" x14ac:dyDescent="0.25">
      <c r="F105" s="6"/>
      <c r="G105" s="6"/>
      <c r="M105" s="6"/>
    </row>
    <row r="106" spans="6:13" s="4" customFormat="1" x14ac:dyDescent="0.25">
      <c r="F106" s="6"/>
      <c r="G106" s="6"/>
      <c r="M106" s="6"/>
    </row>
    <row r="107" spans="6:13" s="4" customFormat="1" x14ac:dyDescent="0.25">
      <c r="F107" s="6"/>
      <c r="G107" s="6"/>
      <c r="M107" s="6"/>
    </row>
    <row r="108" spans="6:13" s="4" customFormat="1" x14ac:dyDescent="0.25">
      <c r="F108" s="6"/>
      <c r="G108" s="6"/>
      <c r="M108" s="6"/>
    </row>
    <row r="109" spans="6:13" s="4" customFormat="1" x14ac:dyDescent="0.25">
      <c r="F109" s="6"/>
      <c r="G109" s="6"/>
      <c r="M109" s="6"/>
    </row>
    <row r="110" spans="6:13" s="4" customFormat="1" x14ac:dyDescent="0.25">
      <c r="F110" s="6"/>
      <c r="G110" s="6"/>
      <c r="M110" s="6"/>
    </row>
    <row r="111" spans="6:13" s="4" customFormat="1" x14ac:dyDescent="0.25">
      <c r="F111" s="6"/>
      <c r="G111" s="6"/>
      <c r="M111" s="6"/>
    </row>
    <row r="112" spans="6:13" s="4" customFormat="1" x14ac:dyDescent="0.25">
      <c r="F112" s="6"/>
      <c r="G112" s="6"/>
      <c r="M112" s="6"/>
    </row>
    <row r="113" spans="6:13" s="4" customFormat="1" x14ac:dyDescent="0.25">
      <c r="F113" s="6"/>
      <c r="G113" s="6"/>
      <c r="M113" s="6"/>
    </row>
    <row r="114" spans="6:13" s="4" customFormat="1" x14ac:dyDescent="0.25">
      <c r="F114" s="6"/>
      <c r="G114" s="6"/>
      <c r="M114" s="6"/>
    </row>
    <row r="115" spans="6:13" s="4" customFormat="1" x14ac:dyDescent="0.25">
      <c r="F115" s="6"/>
      <c r="G115" s="6"/>
      <c r="M115" s="6"/>
    </row>
    <row r="116" spans="6:13" s="4" customFormat="1" x14ac:dyDescent="0.25">
      <c r="F116" s="6"/>
      <c r="G116" s="6"/>
      <c r="M116" s="6"/>
    </row>
    <row r="117" spans="6:13" s="4" customFormat="1" x14ac:dyDescent="0.25">
      <c r="F117" s="6"/>
      <c r="G117" s="6"/>
    </row>
    <row r="118" spans="6:13" s="4" customFormat="1" x14ac:dyDescent="0.25">
      <c r="F118" s="6"/>
      <c r="G118" s="6"/>
    </row>
    <row r="119" spans="6:13" s="4" customFormat="1" x14ac:dyDescent="0.25">
      <c r="F119" s="6"/>
      <c r="G119" s="6"/>
    </row>
    <row r="120" spans="6:13" s="4" customFormat="1" x14ac:dyDescent="0.25">
      <c r="F120" s="6"/>
      <c r="G120" s="6"/>
    </row>
    <row r="121" spans="6:13" s="4" customFormat="1" x14ac:dyDescent="0.25">
      <c r="F121" s="6"/>
      <c r="G121" s="6"/>
    </row>
    <row r="122" spans="6:13" s="4" customFormat="1" x14ac:dyDescent="0.25">
      <c r="F122" s="6"/>
      <c r="G122" s="6"/>
    </row>
    <row r="123" spans="6:13" s="4" customFormat="1" x14ac:dyDescent="0.25">
      <c r="F123" s="6"/>
      <c r="G123" s="6"/>
    </row>
    <row r="124" spans="6:13" s="4" customFormat="1" x14ac:dyDescent="0.25">
      <c r="F124" s="6"/>
      <c r="G124" s="6"/>
    </row>
    <row r="125" spans="6:13" s="4" customFormat="1" x14ac:dyDescent="0.25">
      <c r="F125" s="6"/>
      <c r="G125" s="6"/>
    </row>
    <row r="126" spans="6:13" s="4" customFormat="1" x14ac:dyDescent="0.25">
      <c r="F126" s="6"/>
      <c r="G126" s="6"/>
    </row>
    <row r="127" spans="6:13" s="4" customFormat="1" x14ac:dyDescent="0.25">
      <c r="F127" s="6"/>
      <c r="G127" s="6"/>
    </row>
    <row r="128" spans="6:13" s="4" customFormat="1" x14ac:dyDescent="0.25">
      <c r="F128" s="6"/>
      <c r="G128" s="6"/>
    </row>
    <row r="129" spans="6:7" s="4" customFormat="1" x14ac:dyDescent="0.25">
      <c r="F129" s="6"/>
      <c r="G129" s="6"/>
    </row>
    <row r="130" spans="6:7" s="4" customFormat="1" x14ac:dyDescent="0.25">
      <c r="F130" s="6"/>
      <c r="G130" s="6"/>
    </row>
    <row r="131" spans="6:7" s="4" customFormat="1" x14ac:dyDescent="0.25">
      <c r="F131" s="6"/>
      <c r="G131" s="6"/>
    </row>
    <row r="132" spans="6:7" s="4" customFormat="1" x14ac:dyDescent="0.25">
      <c r="F132" s="6"/>
      <c r="G132" s="6"/>
    </row>
    <row r="133" spans="6:7" s="4" customFormat="1" x14ac:dyDescent="0.25">
      <c r="F133" s="6"/>
      <c r="G133" s="6"/>
    </row>
    <row r="134" spans="6:7" s="4" customFormat="1" x14ac:dyDescent="0.25">
      <c r="F134" s="6"/>
      <c r="G134" s="6"/>
    </row>
    <row r="135" spans="6:7" s="4" customFormat="1" x14ac:dyDescent="0.25">
      <c r="F135" s="6"/>
      <c r="G135" s="6"/>
    </row>
    <row r="136" spans="6:7" s="4" customFormat="1" x14ac:dyDescent="0.25">
      <c r="F136" s="6"/>
      <c r="G136" s="6"/>
    </row>
    <row r="137" spans="6:7" s="4" customFormat="1" x14ac:dyDescent="0.25">
      <c r="F137" s="6"/>
      <c r="G137" s="6"/>
    </row>
    <row r="138" spans="6:7" s="4" customFormat="1" x14ac:dyDescent="0.25">
      <c r="F138" s="6"/>
      <c r="G138" s="6"/>
    </row>
    <row r="139" spans="6:7" s="4" customFormat="1" x14ac:dyDescent="0.25">
      <c r="F139" s="6"/>
      <c r="G139" s="6"/>
    </row>
    <row r="140" spans="6:7" s="4" customFormat="1" x14ac:dyDescent="0.25">
      <c r="F140" s="6"/>
      <c r="G140" s="6"/>
    </row>
    <row r="141" spans="6:7" s="4" customFormat="1" x14ac:dyDescent="0.25">
      <c r="F141" s="6"/>
      <c r="G141" s="6"/>
    </row>
    <row r="142" spans="6:7" s="4" customFormat="1" x14ac:dyDescent="0.25">
      <c r="F142" s="6"/>
      <c r="G142" s="6"/>
    </row>
    <row r="143" spans="6:7" s="4" customFormat="1" x14ac:dyDescent="0.25">
      <c r="F143" s="6"/>
      <c r="G143" s="6"/>
    </row>
    <row r="144" spans="6:7" s="4" customFormat="1" x14ac:dyDescent="0.25">
      <c r="F144" s="6"/>
      <c r="G144" s="6"/>
    </row>
    <row r="145" spans="6:7" s="4" customFormat="1" x14ac:dyDescent="0.25">
      <c r="F145" s="6"/>
      <c r="G145" s="6"/>
    </row>
    <row r="146" spans="6:7" s="4" customFormat="1" x14ac:dyDescent="0.25">
      <c r="F146" s="6"/>
      <c r="G146" s="6"/>
    </row>
    <row r="147" spans="6:7" s="4" customFormat="1" x14ac:dyDescent="0.25">
      <c r="F147" s="6"/>
      <c r="G147" s="6"/>
    </row>
    <row r="148" spans="6:7" s="4" customFormat="1" x14ac:dyDescent="0.25">
      <c r="F148" s="6"/>
      <c r="G148" s="6"/>
    </row>
    <row r="149" spans="6:7" s="4" customFormat="1" x14ac:dyDescent="0.25">
      <c r="F149" s="6"/>
      <c r="G149" s="6"/>
    </row>
    <row r="150" spans="6:7" s="4" customFormat="1" x14ac:dyDescent="0.25">
      <c r="F150" s="6"/>
      <c r="G150" s="6"/>
    </row>
    <row r="151" spans="6:7" s="4" customFormat="1" x14ac:dyDescent="0.25">
      <c r="F151" s="6"/>
      <c r="G151" s="6"/>
    </row>
    <row r="152" spans="6:7" s="4" customFormat="1" x14ac:dyDescent="0.25">
      <c r="F152" s="6"/>
      <c r="G152" s="6"/>
    </row>
    <row r="153" spans="6:7" s="4" customFormat="1" x14ac:dyDescent="0.25">
      <c r="F153" s="6"/>
      <c r="G153" s="6"/>
    </row>
    <row r="154" spans="6:7" s="4" customFormat="1" x14ac:dyDescent="0.25">
      <c r="F154" s="6"/>
      <c r="G154" s="6"/>
    </row>
    <row r="155" spans="6:7" s="4" customFormat="1" x14ac:dyDescent="0.25">
      <c r="F155" s="6"/>
      <c r="G155" s="6"/>
    </row>
    <row r="156" spans="6:7" s="4" customFormat="1" x14ac:dyDescent="0.25">
      <c r="F156" s="6"/>
      <c r="G156" s="6"/>
    </row>
    <row r="157" spans="6:7" s="4" customFormat="1" x14ac:dyDescent="0.25">
      <c r="F157" s="6"/>
      <c r="G157" s="6"/>
    </row>
    <row r="158" spans="6:7" s="4" customFormat="1" x14ac:dyDescent="0.25">
      <c r="F158" s="6"/>
      <c r="G158" s="6"/>
    </row>
    <row r="159" spans="6:7" s="4" customFormat="1" x14ac:dyDescent="0.25">
      <c r="F159" s="6"/>
      <c r="G159" s="6"/>
    </row>
    <row r="160" spans="6:7" s="4" customFormat="1" x14ac:dyDescent="0.25">
      <c r="F160" s="6"/>
      <c r="G160" s="6"/>
    </row>
    <row r="161" spans="6:7" s="4" customFormat="1" x14ac:dyDescent="0.25">
      <c r="F161" s="6"/>
      <c r="G161" s="6"/>
    </row>
    <row r="162" spans="6:7" s="4" customFormat="1" x14ac:dyDescent="0.25">
      <c r="F162" s="6"/>
      <c r="G162" s="6"/>
    </row>
    <row r="163" spans="6:7" s="4" customFormat="1" x14ac:dyDescent="0.25">
      <c r="F163" s="6"/>
      <c r="G163" s="6"/>
    </row>
    <row r="164" spans="6:7" s="4" customFormat="1" x14ac:dyDescent="0.25">
      <c r="F164" s="6"/>
      <c r="G164" s="6"/>
    </row>
    <row r="165" spans="6:7" s="4" customFormat="1" x14ac:dyDescent="0.25">
      <c r="F165" s="6"/>
      <c r="G165" s="6"/>
    </row>
    <row r="166" spans="6:7" s="4" customFormat="1" x14ac:dyDescent="0.25">
      <c r="F166" s="6"/>
      <c r="G166" s="6"/>
    </row>
    <row r="167" spans="6:7" s="4" customFormat="1" x14ac:dyDescent="0.25">
      <c r="F167" s="6"/>
      <c r="G167" s="6"/>
    </row>
    <row r="168" spans="6:7" s="4" customFormat="1" x14ac:dyDescent="0.25">
      <c r="F168" s="6"/>
      <c r="G168" s="6"/>
    </row>
    <row r="169" spans="6:7" s="4" customFormat="1" x14ac:dyDescent="0.25">
      <c r="F169" s="6"/>
      <c r="G169" s="6"/>
    </row>
    <row r="170" spans="6:7" s="4" customFormat="1" x14ac:dyDescent="0.25">
      <c r="F170" s="6"/>
      <c r="G170" s="6"/>
    </row>
    <row r="171" spans="6:7" s="4" customFormat="1" x14ac:dyDescent="0.25">
      <c r="F171" s="6"/>
      <c r="G171" s="6"/>
    </row>
    <row r="172" spans="6:7" s="4" customFormat="1" x14ac:dyDescent="0.25">
      <c r="F172" s="6"/>
      <c r="G172" s="6"/>
    </row>
    <row r="173" spans="6:7" s="4" customFormat="1" x14ac:dyDescent="0.25">
      <c r="F173" s="6"/>
      <c r="G173" s="6"/>
    </row>
    <row r="174" spans="6:7" s="4" customFormat="1" x14ac:dyDescent="0.25">
      <c r="F174" s="6"/>
      <c r="G174" s="6"/>
    </row>
    <row r="175" spans="6:7" s="4" customFormat="1" x14ac:dyDescent="0.25">
      <c r="F175" s="6"/>
      <c r="G175" s="6"/>
    </row>
    <row r="176" spans="6:7" s="4" customFormat="1" x14ac:dyDescent="0.25">
      <c r="F176" s="6"/>
      <c r="G176" s="6"/>
    </row>
    <row r="177" spans="6:7" s="4" customFormat="1" x14ac:dyDescent="0.25">
      <c r="F177" s="6"/>
      <c r="G177" s="6"/>
    </row>
    <row r="178" spans="6:7" s="4" customFormat="1" x14ac:dyDescent="0.25">
      <c r="F178" s="6"/>
      <c r="G178" s="6"/>
    </row>
    <row r="179" spans="6:7" s="4" customFormat="1" x14ac:dyDescent="0.25">
      <c r="F179" s="6"/>
      <c r="G179" s="6"/>
    </row>
    <row r="180" spans="6:7" s="4" customFormat="1" x14ac:dyDescent="0.25">
      <c r="F180" s="6"/>
      <c r="G180" s="6"/>
    </row>
    <row r="181" spans="6:7" s="4" customFormat="1" x14ac:dyDescent="0.25">
      <c r="F181" s="6"/>
      <c r="G181" s="6"/>
    </row>
    <row r="182" spans="6:7" s="4" customFormat="1" x14ac:dyDescent="0.25">
      <c r="F182" s="6"/>
      <c r="G182" s="6"/>
    </row>
    <row r="183" spans="6:7" s="4" customFormat="1" x14ac:dyDescent="0.25">
      <c r="F183" s="6"/>
      <c r="G183" s="6"/>
    </row>
    <row r="184" spans="6:7" s="4" customFormat="1" x14ac:dyDescent="0.25">
      <c r="F184" s="6"/>
      <c r="G184" s="6"/>
    </row>
    <row r="185" spans="6:7" s="4" customFormat="1" x14ac:dyDescent="0.25">
      <c r="F185" s="6"/>
      <c r="G185" s="6"/>
    </row>
    <row r="186" spans="6:7" s="4" customFormat="1" x14ac:dyDescent="0.25">
      <c r="F186" s="6"/>
      <c r="G186" s="6"/>
    </row>
    <row r="187" spans="6:7" s="4" customFormat="1" x14ac:dyDescent="0.25">
      <c r="F187" s="6"/>
      <c r="G187" s="6"/>
    </row>
    <row r="188" spans="6:7" s="4" customFormat="1" x14ac:dyDescent="0.25">
      <c r="F188" s="6"/>
      <c r="G188" s="6"/>
    </row>
    <row r="189" spans="6:7" s="4" customFormat="1" x14ac:dyDescent="0.25">
      <c r="F189" s="6"/>
      <c r="G189" s="6"/>
    </row>
    <row r="190" spans="6:7" s="4" customFormat="1" x14ac:dyDescent="0.25">
      <c r="F190" s="6"/>
      <c r="G190" s="6"/>
    </row>
    <row r="191" spans="6:7" s="4" customFormat="1" x14ac:dyDescent="0.25">
      <c r="F191" s="6"/>
      <c r="G191" s="6"/>
    </row>
    <row r="192" spans="6:7" s="4" customFormat="1" x14ac:dyDescent="0.25">
      <c r="F192" s="6"/>
      <c r="G192" s="6"/>
    </row>
    <row r="193" spans="6:7" s="4" customFormat="1" x14ac:dyDescent="0.25">
      <c r="F193" s="6"/>
      <c r="G193" s="6"/>
    </row>
    <row r="194" spans="6:7" s="4" customFormat="1" x14ac:dyDescent="0.25">
      <c r="F194" s="6"/>
      <c r="G194" s="6"/>
    </row>
    <row r="195" spans="6:7" s="4" customFormat="1" x14ac:dyDescent="0.25">
      <c r="F195" s="6"/>
      <c r="G195" s="6"/>
    </row>
    <row r="196" spans="6:7" s="4" customFormat="1" x14ac:dyDescent="0.25">
      <c r="F196" s="6"/>
      <c r="G196" s="6"/>
    </row>
    <row r="197" spans="6:7" s="4" customFormat="1" x14ac:dyDescent="0.25">
      <c r="F197" s="6"/>
      <c r="G197" s="6"/>
    </row>
    <row r="198" spans="6:7" s="4" customFormat="1" x14ac:dyDescent="0.25">
      <c r="F198" s="6"/>
      <c r="G198" s="6"/>
    </row>
    <row r="199" spans="6:7" s="4" customFormat="1" x14ac:dyDescent="0.25">
      <c r="F199" s="6"/>
      <c r="G199" s="6"/>
    </row>
    <row r="200" spans="6:7" s="4" customFormat="1" x14ac:dyDescent="0.25">
      <c r="F200" s="6"/>
      <c r="G200" s="6"/>
    </row>
    <row r="201" spans="6:7" s="4" customFormat="1" x14ac:dyDescent="0.25">
      <c r="F201" s="6"/>
      <c r="G201" s="6"/>
    </row>
    <row r="202" spans="6:7" s="4" customFormat="1" x14ac:dyDescent="0.25">
      <c r="F202" s="6"/>
      <c r="G202" s="6"/>
    </row>
    <row r="203" spans="6:7" s="4" customFormat="1" x14ac:dyDescent="0.25">
      <c r="F203" s="6"/>
      <c r="G203" s="6"/>
    </row>
    <row r="204" spans="6:7" s="4" customFormat="1" x14ac:dyDescent="0.25">
      <c r="F204" s="6"/>
      <c r="G204" s="6"/>
    </row>
    <row r="205" spans="6:7" s="4" customFormat="1" x14ac:dyDescent="0.25">
      <c r="F205" s="6"/>
      <c r="G205" s="6"/>
    </row>
    <row r="206" spans="6:7" s="4" customFormat="1" x14ac:dyDescent="0.25">
      <c r="F206" s="6"/>
      <c r="G206" s="6"/>
    </row>
    <row r="207" spans="6:7" s="4" customFormat="1" x14ac:dyDescent="0.25">
      <c r="F207" s="6"/>
      <c r="G207" s="6"/>
    </row>
    <row r="208" spans="6:7" s="4" customFormat="1" x14ac:dyDescent="0.25">
      <c r="F208" s="6"/>
      <c r="G208" s="6"/>
    </row>
    <row r="209" spans="6:7" s="4" customFormat="1" x14ac:dyDescent="0.25">
      <c r="F209" s="6"/>
      <c r="G209" s="6"/>
    </row>
    <row r="210" spans="6:7" s="4" customFormat="1" x14ac:dyDescent="0.25">
      <c r="F210" s="6"/>
      <c r="G210" s="6"/>
    </row>
    <row r="211" spans="6:7" s="4" customFormat="1" x14ac:dyDescent="0.25">
      <c r="F211" s="6"/>
      <c r="G211" s="6"/>
    </row>
    <row r="212" spans="6:7" s="4" customFormat="1" x14ac:dyDescent="0.25">
      <c r="F212" s="6"/>
      <c r="G212" s="6"/>
    </row>
    <row r="213" spans="6:7" s="4" customFormat="1" x14ac:dyDescent="0.25">
      <c r="F213" s="6"/>
      <c r="G213" s="6"/>
    </row>
    <row r="214" spans="6:7" s="4" customFormat="1" x14ac:dyDescent="0.25">
      <c r="F214" s="6"/>
      <c r="G214" s="6"/>
    </row>
    <row r="215" spans="6:7" s="4" customFormat="1" x14ac:dyDescent="0.25">
      <c r="F215" s="6"/>
      <c r="G215" s="6"/>
    </row>
    <row r="216" spans="6:7" s="4" customFormat="1" x14ac:dyDescent="0.25">
      <c r="F216" s="6"/>
      <c r="G216" s="6"/>
    </row>
    <row r="217" spans="6:7" s="4" customFormat="1" x14ac:dyDescent="0.25">
      <c r="F217" s="6"/>
      <c r="G217" s="6"/>
    </row>
    <row r="218" spans="6:7" s="4" customFormat="1" x14ac:dyDescent="0.25">
      <c r="F218" s="6"/>
      <c r="G218" s="6"/>
    </row>
    <row r="219" spans="6:7" s="4" customFormat="1" x14ac:dyDescent="0.25">
      <c r="F219" s="6"/>
      <c r="G219" s="6"/>
    </row>
    <row r="220" spans="6:7" s="4" customFormat="1" x14ac:dyDescent="0.25">
      <c r="F220" s="6"/>
      <c r="G220" s="6"/>
    </row>
    <row r="221" spans="6:7" s="4" customFormat="1" x14ac:dyDescent="0.25">
      <c r="F221" s="6"/>
      <c r="G221" s="6"/>
    </row>
    <row r="222" spans="6:7" s="4" customFormat="1" x14ac:dyDescent="0.25">
      <c r="F222" s="6"/>
      <c r="G222" s="6"/>
    </row>
    <row r="223" spans="6:7" s="4" customFormat="1" x14ac:dyDescent="0.25">
      <c r="F223" s="6"/>
      <c r="G223" s="6"/>
    </row>
    <row r="224" spans="6:7" s="4" customFormat="1" x14ac:dyDescent="0.25">
      <c r="F224" s="6"/>
      <c r="G224" s="6"/>
    </row>
    <row r="225" spans="6:7" s="4" customFormat="1" x14ac:dyDescent="0.25">
      <c r="F225" s="6"/>
      <c r="G225" s="6"/>
    </row>
    <row r="226" spans="6:7" s="4" customFormat="1" x14ac:dyDescent="0.25">
      <c r="F226" s="6"/>
      <c r="G226" s="6"/>
    </row>
    <row r="227" spans="6:7" s="4" customFormat="1" x14ac:dyDescent="0.25">
      <c r="F227" s="6"/>
      <c r="G227" s="6"/>
    </row>
    <row r="228" spans="6:7" s="4" customFormat="1" x14ac:dyDescent="0.25">
      <c r="F228" s="6"/>
      <c r="G228" s="6"/>
    </row>
    <row r="229" spans="6:7" s="4" customFormat="1" x14ac:dyDescent="0.25">
      <c r="F229" s="6"/>
      <c r="G229" s="6"/>
    </row>
    <row r="230" spans="6:7" s="4" customFormat="1" x14ac:dyDescent="0.25">
      <c r="F230" s="6"/>
      <c r="G230" s="6"/>
    </row>
    <row r="231" spans="6:7" s="4" customFormat="1" x14ac:dyDescent="0.25">
      <c r="F231" s="6"/>
      <c r="G231" s="6"/>
    </row>
    <row r="232" spans="6:7" s="4" customFormat="1" x14ac:dyDescent="0.25">
      <c r="F232" s="6"/>
      <c r="G232" s="6"/>
    </row>
    <row r="233" spans="6:7" s="4" customFormat="1" x14ac:dyDescent="0.25">
      <c r="F233" s="6"/>
      <c r="G233" s="6"/>
    </row>
    <row r="234" spans="6:7" s="4" customFormat="1" x14ac:dyDescent="0.25">
      <c r="F234" s="6"/>
      <c r="G234" s="6"/>
    </row>
    <row r="235" spans="6:7" s="4" customFormat="1" x14ac:dyDescent="0.25">
      <c r="F235" s="6"/>
      <c r="G235" s="6"/>
    </row>
    <row r="236" spans="6:7" s="4" customFormat="1" x14ac:dyDescent="0.25">
      <c r="F236" s="6"/>
      <c r="G236" s="6"/>
    </row>
    <row r="237" spans="6:7" s="4" customFormat="1" x14ac:dyDescent="0.25">
      <c r="F237" s="6"/>
      <c r="G237" s="6"/>
    </row>
    <row r="238" spans="6:7" s="4" customFormat="1" x14ac:dyDescent="0.25">
      <c r="F238" s="6"/>
      <c r="G238" s="6"/>
    </row>
    <row r="239" spans="6:7" s="4" customFormat="1" x14ac:dyDescent="0.25">
      <c r="F239" s="6"/>
      <c r="G239" s="6"/>
    </row>
    <row r="240" spans="6:7" s="4" customFormat="1" x14ac:dyDescent="0.25">
      <c r="F240" s="6"/>
      <c r="G240" s="6"/>
    </row>
    <row r="241" spans="6:7" s="4" customFormat="1" x14ac:dyDescent="0.25">
      <c r="F241" s="6"/>
      <c r="G241" s="6"/>
    </row>
    <row r="242" spans="6:7" s="4" customFormat="1" x14ac:dyDescent="0.25">
      <c r="F242" s="6"/>
      <c r="G242" s="6"/>
    </row>
    <row r="243" spans="6:7" s="4" customFormat="1" x14ac:dyDescent="0.25">
      <c r="F243" s="6"/>
      <c r="G243" s="6"/>
    </row>
    <row r="244" spans="6:7" s="4" customFormat="1" x14ac:dyDescent="0.25">
      <c r="F244" s="6"/>
      <c r="G244" s="6"/>
    </row>
    <row r="245" spans="6:7" s="4" customFormat="1" x14ac:dyDescent="0.25">
      <c r="F245" s="6"/>
      <c r="G245" s="6"/>
    </row>
    <row r="246" spans="6:7" s="4" customFormat="1" x14ac:dyDescent="0.25">
      <c r="F246" s="6"/>
      <c r="G246" s="6"/>
    </row>
    <row r="247" spans="6:7" s="4" customFormat="1" x14ac:dyDescent="0.25">
      <c r="F247" s="6"/>
      <c r="G247" s="6"/>
    </row>
    <row r="248" spans="6:7" s="4" customFormat="1" x14ac:dyDescent="0.25">
      <c r="F248" s="6"/>
      <c r="G248" s="6"/>
    </row>
    <row r="249" spans="6:7" s="4" customFormat="1" x14ac:dyDescent="0.25">
      <c r="F249" s="6"/>
      <c r="G249" s="6"/>
    </row>
    <row r="250" spans="6:7" s="4" customFormat="1" x14ac:dyDescent="0.25">
      <c r="F250" s="6"/>
      <c r="G250" s="6"/>
    </row>
    <row r="251" spans="6:7" s="4" customFormat="1" x14ac:dyDescent="0.25">
      <c r="F251" s="6"/>
      <c r="G251" s="6"/>
    </row>
    <row r="252" spans="6:7" s="4" customFormat="1" x14ac:dyDescent="0.25">
      <c r="F252" s="6"/>
      <c r="G252" s="6"/>
    </row>
    <row r="253" spans="6:7" s="4" customFormat="1" x14ac:dyDescent="0.25">
      <c r="F253" s="6"/>
      <c r="G253" s="6"/>
    </row>
    <row r="254" spans="6:7" s="4" customFormat="1" x14ac:dyDescent="0.25">
      <c r="F254" s="6"/>
      <c r="G254" s="6"/>
    </row>
    <row r="255" spans="6:7" s="4" customFormat="1" x14ac:dyDescent="0.25">
      <c r="F255" s="6"/>
      <c r="G255" s="6"/>
    </row>
    <row r="256" spans="6:7" s="4" customFormat="1" x14ac:dyDescent="0.25">
      <c r="F256" s="6"/>
      <c r="G256" s="6"/>
    </row>
    <row r="257" spans="6:7" s="4" customFormat="1" x14ac:dyDescent="0.25">
      <c r="F257" s="6"/>
      <c r="G257" s="6"/>
    </row>
    <row r="258" spans="6:7" s="4" customFormat="1" x14ac:dyDescent="0.25">
      <c r="F258" s="6"/>
      <c r="G258" s="6"/>
    </row>
    <row r="259" spans="6:7" s="4" customFormat="1" x14ac:dyDescent="0.25">
      <c r="F259" s="6"/>
      <c r="G259" s="6"/>
    </row>
    <row r="260" spans="6:7" s="4" customFormat="1" x14ac:dyDescent="0.25">
      <c r="F260" s="6"/>
      <c r="G260" s="6"/>
    </row>
    <row r="261" spans="6:7" s="4" customFormat="1" x14ac:dyDescent="0.25">
      <c r="F261" s="6"/>
      <c r="G261" s="6"/>
    </row>
    <row r="262" spans="6:7" s="4" customFormat="1" x14ac:dyDescent="0.25">
      <c r="F262" s="6"/>
      <c r="G262" s="6"/>
    </row>
    <row r="263" spans="6:7" s="4" customFormat="1" x14ac:dyDescent="0.25">
      <c r="F263" s="6"/>
      <c r="G263" s="6"/>
    </row>
    <row r="264" spans="6:7" s="4" customFormat="1" x14ac:dyDescent="0.25">
      <c r="F264" s="6"/>
      <c r="G264" s="6"/>
    </row>
    <row r="265" spans="6:7" s="4" customFormat="1" x14ac:dyDescent="0.25">
      <c r="F265" s="6"/>
      <c r="G265" s="6"/>
    </row>
    <row r="266" spans="6:7" s="4" customFormat="1" x14ac:dyDescent="0.25">
      <c r="F266" s="6"/>
      <c r="G266" s="6"/>
    </row>
    <row r="267" spans="6:7" s="4" customFormat="1" x14ac:dyDescent="0.25">
      <c r="F267" s="6"/>
      <c r="G267" s="6"/>
    </row>
    <row r="268" spans="6:7" s="4" customFormat="1" x14ac:dyDescent="0.25">
      <c r="F268" s="6"/>
      <c r="G268" s="6"/>
    </row>
    <row r="269" spans="6:7" s="4" customFormat="1" x14ac:dyDescent="0.25">
      <c r="F269" s="6"/>
      <c r="G269" s="6"/>
    </row>
    <row r="270" spans="6:7" s="4" customFormat="1" x14ac:dyDescent="0.25">
      <c r="F270" s="6"/>
      <c r="G270" s="6"/>
    </row>
    <row r="271" spans="6:7" s="4" customFormat="1" x14ac:dyDescent="0.25">
      <c r="F271" s="6"/>
      <c r="G271" s="6"/>
    </row>
    <row r="272" spans="6:7" s="4" customFormat="1" x14ac:dyDescent="0.25">
      <c r="F272" s="6"/>
      <c r="G272" s="6"/>
    </row>
    <row r="273" spans="6:7" s="4" customFormat="1" x14ac:dyDescent="0.25">
      <c r="F273" s="6"/>
      <c r="G273" s="6"/>
    </row>
    <row r="274" spans="6:7" s="4" customFormat="1" x14ac:dyDescent="0.25">
      <c r="F274" s="6"/>
      <c r="G274" s="6"/>
    </row>
    <row r="275" spans="6:7" s="4" customFormat="1" x14ac:dyDescent="0.25">
      <c r="F275" s="6"/>
      <c r="G275" s="6"/>
    </row>
    <row r="276" spans="6:7" s="4" customFormat="1" x14ac:dyDescent="0.25">
      <c r="F276" s="6"/>
      <c r="G276" s="6"/>
    </row>
    <row r="277" spans="6:7" s="4" customFormat="1" x14ac:dyDescent="0.25">
      <c r="F277" s="6"/>
      <c r="G277" s="6"/>
    </row>
    <row r="278" spans="6:7" s="4" customFormat="1" x14ac:dyDescent="0.25">
      <c r="F278" s="6"/>
      <c r="G278" s="6"/>
    </row>
    <row r="279" spans="6:7" s="4" customFormat="1" x14ac:dyDescent="0.25">
      <c r="F279" s="6"/>
      <c r="G279" s="6"/>
    </row>
    <row r="280" spans="6:7" s="4" customFormat="1" x14ac:dyDescent="0.25">
      <c r="F280" s="6"/>
      <c r="G280" s="6"/>
    </row>
    <row r="281" spans="6:7" s="4" customFormat="1" x14ac:dyDescent="0.25">
      <c r="F281" s="6"/>
      <c r="G281" s="6"/>
    </row>
    <row r="282" spans="6:7" s="4" customFormat="1" x14ac:dyDescent="0.25">
      <c r="F282" s="6"/>
      <c r="G282" s="6"/>
    </row>
    <row r="283" spans="6:7" s="4" customFormat="1" x14ac:dyDescent="0.25">
      <c r="F283" s="6"/>
      <c r="G283" s="6"/>
    </row>
    <row r="284" spans="6:7" s="4" customFormat="1" x14ac:dyDescent="0.25">
      <c r="F284" s="6"/>
      <c r="G284" s="6"/>
    </row>
    <row r="285" spans="6:7" s="4" customFormat="1" x14ac:dyDescent="0.25">
      <c r="F285" s="6"/>
      <c r="G285" s="6"/>
    </row>
    <row r="286" spans="6:7" s="4" customFormat="1" x14ac:dyDescent="0.25">
      <c r="F286" s="6"/>
      <c r="G286" s="6"/>
    </row>
    <row r="287" spans="6:7" s="4" customFormat="1" x14ac:dyDescent="0.25">
      <c r="F287" s="6"/>
      <c r="G287" s="6"/>
    </row>
    <row r="288" spans="6:7" s="4" customFormat="1" x14ac:dyDescent="0.25">
      <c r="F288" s="6"/>
      <c r="G288" s="6"/>
    </row>
    <row r="289" spans="6:7" s="4" customFormat="1" x14ac:dyDescent="0.25">
      <c r="F289" s="6"/>
      <c r="G289" s="6"/>
    </row>
    <row r="290" spans="6:7" s="4" customFormat="1" x14ac:dyDescent="0.25">
      <c r="F290" s="6"/>
      <c r="G290" s="6"/>
    </row>
    <row r="291" spans="6:7" s="4" customFormat="1" x14ac:dyDescent="0.25">
      <c r="F291" s="6"/>
      <c r="G291" s="6"/>
    </row>
    <row r="292" spans="6:7" s="4" customFormat="1" x14ac:dyDescent="0.25">
      <c r="F292" s="6"/>
      <c r="G292" s="6"/>
    </row>
    <row r="293" spans="6:7" s="4" customFormat="1" x14ac:dyDescent="0.25">
      <c r="F293" s="6"/>
      <c r="G293" s="6"/>
    </row>
    <row r="294" spans="6:7" s="4" customFormat="1" x14ac:dyDescent="0.25">
      <c r="F294" s="6"/>
      <c r="G294" s="6"/>
    </row>
    <row r="295" spans="6:7" s="4" customFormat="1" x14ac:dyDescent="0.25">
      <c r="F295" s="6"/>
      <c r="G295" s="6"/>
    </row>
    <row r="296" spans="6:7" s="4" customFormat="1" x14ac:dyDescent="0.25">
      <c r="F296" s="6"/>
      <c r="G296" s="6"/>
    </row>
    <row r="297" spans="6:7" s="4" customFormat="1" x14ac:dyDescent="0.25">
      <c r="F297" s="6"/>
      <c r="G297" s="6"/>
    </row>
    <row r="298" spans="6:7" s="4" customFormat="1" x14ac:dyDescent="0.25">
      <c r="F298" s="6"/>
      <c r="G298" s="6"/>
    </row>
    <row r="299" spans="6:7" s="4" customFormat="1" x14ac:dyDescent="0.25">
      <c r="F299" s="6"/>
      <c r="G299" s="6"/>
    </row>
    <row r="300" spans="6:7" s="4" customFormat="1" x14ac:dyDescent="0.25">
      <c r="F300" s="6"/>
      <c r="G300" s="6"/>
    </row>
    <row r="301" spans="6:7" s="4" customFormat="1" x14ac:dyDescent="0.25">
      <c r="F301" s="6"/>
      <c r="G301" s="6"/>
    </row>
    <row r="302" spans="6:7" s="4" customFormat="1" x14ac:dyDescent="0.25">
      <c r="F302" s="6"/>
      <c r="G302" s="6"/>
    </row>
    <row r="303" spans="6:7" s="4" customFormat="1" x14ac:dyDescent="0.25">
      <c r="F303" s="6"/>
      <c r="G303" s="6"/>
    </row>
    <row r="304" spans="6:7" s="4" customFormat="1" x14ac:dyDescent="0.25">
      <c r="F304" s="6"/>
      <c r="G304" s="6"/>
    </row>
    <row r="305" spans="6:7" s="4" customFormat="1" x14ac:dyDescent="0.25">
      <c r="F305" s="6"/>
      <c r="G305" s="6"/>
    </row>
    <row r="306" spans="6:7" s="4" customFormat="1" x14ac:dyDescent="0.25">
      <c r="F306" s="6"/>
      <c r="G306" s="6"/>
    </row>
    <row r="307" spans="6:7" s="4" customFormat="1" x14ac:dyDescent="0.25">
      <c r="F307" s="6"/>
      <c r="G307" s="6"/>
    </row>
    <row r="308" spans="6:7" s="4" customFormat="1" x14ac:dyDescent="0.25">
      <c r="F308" s="6"/>
      <c r="G308" s="6"/>
    </row>
    <row r="309" spans="6:7" s="4" customFormat="1" x14ac:dyDescent="0.25">
      <c r="F309" s="6"/>
      <c r="G309" s="6"/>
    </row>
    <row r="310" spans="6:7" s="4" customFormat="1" x14ac:dyDescent="0.25">
      <c r="F310" s="6"/>
      <c r="G310" s="6"/>
    </row>
    <row r="311" spans="6:7" s="4" customFormat="1" x14ac:dyDescent="0.25">
      <c r="F311" s="6"/>
      <c r="G311" s="6"/>
    </row>
    <row r="312" spans="6:7" s="4" customFormat="1" x14ac:dyDescent="0.25">
      <c r="F312" s="6"/>
      <c r="G312" s="6"/>
    </row>
    <row r="313" spans="6:7" s="4" customFormat="1" x14ac:dyDescent="0.25">
      <c r="F313" s="6"/>
      <c r="G313" s="6"/>
    </row>
    <row r="314" spans="6:7" s="4" customFormat="1" x14ac:dyDescent="0.25">
      <c r="F314" s="6"/>
      <c r="G314" s="6"/>
    </row>
    <row r="315" spans="6:7" s="4" customFormat="1" x14ac:dyDescent="0.25">
      <c r="F315" s="6"/>
      <c r="G315" s="6"/>
    </row>
    <row r="316" spans="6:7" s="4" customFormat="1" x14ac:dyDescent="0.25">
      <c r="F316" s="6"/>
      <c r="G316" s="6"/>
    </row>
    <row r="317" spans="6:7" s="4" customFormat="1" x14ac:dyDescent="0.25">
      <c r="F317" s="6"/>
      <c r="G317" s="6"/>
    </row>
    <row r="318" spans="6:7" s="4" customFormat="1" x14ac:dyDescent="0.25">
      <c r="F318" s="6"/>
      <c r="G318" s="6"/>
    </row>
    <row r="319" spans="6:7" s="4" customFormat="1" x14ac:dyDescent="0.25">
      <c r="F319" s="6"/>
      <c r="G319" s="6"/>
    </row>
    <row r="320" spans="6:7" s="4" customFormat="1" x14ac:dyDescent="0.25">
      <c r="F320" s="6"/>
      <c r="G320" s="6"/>
    </row>
    <row r="321" spans="6:7" s="4" customFormat="1" x14ac:dyDescent="0.25">
      <c r="F321" s="6"/>
      <c r="G321" s="6"/>
    </row>
    <row r="322" spans="6:7" s="4" customFormat="1" x14ac:dyDescent="0.25">
      <c r="F322" s="6"/>
      <c r="G322" s="6"/>
    </row>
    <row r="323" spans="6:7" s="4" customFormat="1" x14ac:dyDescent="0.25">
      <c r="F323" s="6"/>
      <c r="G323" s="6"/>
    </row>
    <row r="324" spans="6:7" s="4" customFormat="1" x14ac:dyDescent="0.25">
      <c r="F324" s="6"/>
      <c r="G324" s="6"/>
    </row>
    <row r="325" spans="6:7" s="4" customFormat="1" x14ac:dyDescent="0.25">
      <c r="F325" s="6"/>
      <c r="G325" s="6"/>
    </row>
    <row r="326" spans="6:7" s="4" customFormat="1" x14ac:dyDescent="0.25">
      <c r="F326" s="6"/>
      <c r="G326" s="6"/>
    </row>
    <row r="327" spans="6:7" s="4" customFormat="1" x14ac:dyDescent="0.25">
      <c r="F327" s="6"/>
      <c r="G327" s="6"/>
    </row>
    <row r="328" spans="6:7" s="4" customFormat="1" x14ac:dyDescent="0.25">
      <c r="F328" s="6"/>
      <c r="G328" s="6"/>
    </row>
    <row r="329" spans="6:7" s="4" customFormat="1" x14ac:dyDescent="0.25">
      <c r="F329" s="6"/>
      <c r="G329" s="6"/>
    </row>
    <row r="330" spans="6:7" s="4" customFormat="1" x14ac:dyDescent="0.25">
      <c r="F330" s="6"/>
      <c r="G330" s="6"/>
    </row>
    <row r="331" spans="6:7" s="4" customFormat="1" x14ac:dyDescent="0.25">
      <c r="F331" s="6"/>
      <c r="G331" s="6"/>
    </row>
    <row r="332" spans="6:7" s="4" customFormat="1" x14ac:dyDescent="0.25">
      <c r="F332" s="6"/>
      <c r="G332" s="6"/>
    </row>
    <row r="333" spans="6:7" s="4" customFormat="1" x14ac:dyDescent="0.25">
      <c r="F333" s="6"/>
      <c r="G333" s="6"/>
    </row>
    <row r="334" spans="6:7" s="4" customFormat="1" x14ac:dyDescent="0.25">
      <c r="F334" s="6"/>
      <c r="G334" s="6"/>
    </row>
    <row r="335" spans="6:7" s="4" customFormat="1" x14ac:dyDescent="0.25">
      <c r="F335" s="6"/>
      <c r="G335" s="6"/>
    </row>
    <row r="336" spans="6:7" s="4" customFormat="1" x14ac:dyDescent="0.25">
      <c r="F336" s="6"/>
      <c r="G336" s="6"/>
    </row>
    <row r="337" spans="6:7" s="4" customFormat="1" x14ac:dyDescent="0.25">
      <c r="F337" s="6"/>
      <c r="G337" s="6"/>
    </row>
    <row r="338" spans="6:7" s="4" customFormat="1" x14ac:dyDescent="0.25">
      <c r="F338" s="6"/>
      <c r="G338" s="6"/>
    </row>
    <row r="339" spans="6:7" s="4" customFormat="1" x14ac:dyDescent="0.25">
      <c r="F339" s="6"/>
      <c r="G339" s="6"/>
    </row>
    <row r="340" spans="6:7" s="4" customFormat="1" x14ac:dyDescent="0.25">
      <c r="F340" s="6"/>
      <c r="G340" s="6"/>
    </row>
    <row r="341" spans="6:7" s="4" customFormat="1" x14ac:dyDescent="0.25">
      <c r="F341" s="6"/>
      <c r="G341" s="6"/>
    </row>
    <row r="342" spans="6:7" s="4" customFormat="1" x14ac:dyDescent="0.25">
      <c r="F342" s="6"/>
      <c r="G342" s="6"/>
    </row>
    <row r="343" spans="6:7" s="4" customFormat="1" x14ac:dyDescent="0.25">
      <c r="F343" s="6"/>
      <c r="G343" s="6"/>
    </row>
    <row r="344" spans="6:7" s="4" customFormat="1" x14ac:dyDescent="0.25">
      <c r="F344" s="6"/>
      <c r="G344" s="6"/>
    </row>
    <row r="345" spans="6:7" s="4" customFormat="1" x14ac:dyDescent="0.25">
      <c r="F345" s="6"/>
      <c r="G345" s="6"/>
    </row>
    <row r="346" spans="6:7" s="4" customFormat="1" x14ac:dyDescent="0.25">
      <c r="F346" s="6"/>
      <c r="G346" s="6"/>
    </row>
    <row r="347" spans="6:7" s="4" customFormat="1" x14ac:dyDescent="0.25">
      <c r="F347" s="6"/>
      <c r="G347" s="6"/>
    </row>
    <row r="348" spans="6:7" s="4" customFormat="1" x14ac:dyDescent="0.25">
      <c r="F348" s="6"/>
      <c r="G348" s="6"/>
    </row>
    <row r="349" spans="6:7" s="4" customFormat="1" x14ac:dyDescent="0.25">
      <c r="F349" s="6"/>
      <c r="G349" s="6"/>
    </row>
    <row r="350" spans="6:7" s="4" customFormat="1" x14ac:dyDescent="0.25">
      <c r="F350" s="6"/>
      <c r="G350" s="6"/>
    </row>
    <row r="351" spans="6:7" s="4" customFormat="1" x14ac:dyDescent="0.25">
      <c r="F351" s="6"/>
      <c r="G351" s="6"/>
    </row>
    <row r="352" spans="6:7" s="4" customFormat="1" x14ac:dyDescent="0.25">
      <c r="F352" s="6"/>
      <c r="G352" s="6"/>
    </row>
    <row r="353" spans="6:7" s="4" customFormat="1" x14ac:dyDescent="0.25">
      <c r="F353" s="6"/>
      <c r="G353" s="6"/>
    </row>
    <row r="354" spans="6:7" s="4" customFormat="1" x14ac:dyDescent="0.25">
      <c r="F354" s="6"/>
      <c r="G354" s="6"/>
    </row>
    <row r="355" spans="6:7" s="4" customFormat="1" x14ac:dyDescent="0.25">
      <c r="F355" s="6"/>
      <c r="G355" s="6"/>
    </row>
    <row r="356" spans="6:7" s="4" customFormat="1" x14ac:dyDescent="0.25">
      <c r="F356" s="6"/>
      <c r="G356" s="6"/>
    </row>
    <row r="357" spans="6:7" s="4" customFormat="1" x14ac:dyDescent="0.25">
      <c r="F357" s="6"/>
      <c r="G357" s="6"/>
    </row>
    <row r="358" spans="6:7" s="4" customFormat="1" x14ac:dyDescent="0.25">
      <c r="F358" s="6"/>
      <c r="G358" s="6"/>
    </row>
    <row r="359" spans="6:7" s="4" customFormat="1" x14ac:dyDescent="0.25">
      <c r="F359" s="6"/>
      <c r="G359" s="6"/>
    </row>
    <row r="360" spans="6:7" s="4" customFormat="1" x14ac:dyDescent="0.25">
      <c r="F360" s="6"/>
      <c r="G360" s="6"/>
    </row>
    <row r="361" spans="6:7" s="4" customFormat="1" x14ac:dyDescent="0.25">
      <c r="F361" s="6"/>
      <c r="G361" s="6"/>
    </row>
    <row r="362" spans="6:7" s="4" customFormat="1" x14ac:dyDescent="0.25">
      <c r="F362" s="6"/>
      <c r="G362" s="6"/>
    </row>
    <row r="363" spans="6:7" s="4" customFormat="1" x14ac:dyDescent="0.25">
      <c r="F363" s="6"/>
      <c r="G363" s="6"/>
    </row>
    <row r="364" spans="6:7" s="4" customFormat="1" x14ac:dyDescent="0.25">
      <c r="F364" s="6"/>
      <c r="G364" s="6"/>
    </row>
    <row r="365" spans="6:7" s="4" customFormat="1" x14ac:dyDescent="0.25">
      <c r="F365" s="6"/>
      <c r="G365" s="6"/>
    </row>
    <row r="366" spans="6:7" s="4" customFormat="1" x14ac:dyDescent="0.25">
      <c r="F366" s="6"/>
      <c r="G366" s="6"/>
    </row>
    <row r="367" spans="6:7" s="4" customFormat="1" x14ac:dyDescent="0.25">
      <c r="F367" s="6"/>
      <c r="G367" s="6"/>
    </row>
    <row r="368" spans="6:7" s="4" customFormat="1" x14ac:dyDescent="0.25">
      <c r="F368" s="6"/>
      <c r="G368" s="6"/>
    </row>
  </sheetData>
  <sheetProtection formatCells="0" formatColumns="0" formatRows="0" selectLockedCells="1" sort="0"/>
  <mergeCells count="3">
    <mergeCell ref="A1:M1"/>
    <mergeCell ref="A2:M2"/>
    <mergeCell ref="G7:I7"/>
  </mergeCells>
  <conditionalFormatting sqref="G10:H27">
    <cfRule type="cellIs" dxfId="40" priority="38" operator="equal">
      <formula>4</formula>
    </cfRule>
    <cfRule type="cellIs" dxfId="39" priority="48" operator="equal">
      <formula>5</formula>
    </cfRule>
    <cfRule type="cellIs" dxfId="38" priority="49" operator="equal">
      <formula>3</formula>
    </cfRule>
    <cfRule type="cellIs" dxfId="37" priority="50" operator="between">
      <formula>1</formula>
      <formula>2</formula>
    </cfRule>
  </conditionalFormatting>
  <conditionalFormatting sqref="G10:H27">
    <cfRule type="cellIs" dxfId="36" priority="45" operator="equal">
      <formula>5</formula>
    </cfRule>
    <cfRule type="cellIs" dxfId="35" priority="46" operator="between">
      <formula>3</formula>
      <formula>4</formula>
    </cfRule>
    <cfRule type="cellIs" dxfId="34" priority="47" operator="between">
      <formula>1</formula>
      <formula>2</formula>
    </cfRule>
  </conditionalFormatting>
  <conditionalFormatting sqref="I9:I27">
    <cfRule type="cellIs" dxfId="33" priority="35" operator="between">
      <formula>16</formula>
      <formula>25</formula>
    </cfRule>
    <cfRule type="cellIs" dxfId="32" priority="36" operator="between">
      <formula>5</formula>
      <formula>9</formula>
    </cfRule>
    <cfRule type="cellIs" dxfId="31" priority="37" operator="between">
      <formula>1</formula>
      <formula>4</formula>
    </cfRule>
  </conditionalFormatting>
  <conditionalFormatting sqref="I9:I27">
    <cfRule type="cellIs" dxfId="30" priority="34" operator="between">
      <formula>10</formula>
      <formula>15</formula>
    </cfRule>
  </conditionalFormatting>
  <conditionalFormatting sqref="G9:H9">
    <cfRule type="cellIs" dxfId="29" priority="30" operator="equal">
      <formula>4</formula>
    </cfRule>
    <cfRule type="cellIs" dxfId="28" priority="31" operator="equal">
      <formula>5</formula>
    </cfRule>
    <cfRule type="cellIs" dxfId="27" priority="32" operator="equal">
      <formula>3</formula>
    </cfRule>
    <cfRule type="cellIs" dxfId="26" priority="33" operator="between">
      <formula>1</formula>
      <formula>2</formula>
    </cfRule>
  </conditionalFormatting>
  <conditionalFormatting sqref="G28:G29">
    <cfRule type="cellIs" dxfId="25" priority="12" operator="equal">
      <formula>4</formula>
    </cfRule>
    <cfRule type="cellIs" dxfId="24" priority="16" operator="equal">
      <formula>5</formula>
    </cfRule>
    <cfRule type="cellIs" dxfId="23" priority="17" operator="equal">
      <formula>3</formula>
    </cfRule>
    <cfRule type="cellIs" dxfId="22" priority="18" operator="between">
      <formula>1</formula>
      <formula>2</formula>
    </cfRule>
  </conditionalFormatting>
  <conditionalFormatting sqref="G28:G29">
    <cfRule type="cellIs" dxfId="21" priority="13" operator="equal">
      <formula>5</formula>
    </cfRule>
    <cfRule type="cellIs" dxfId="20" priority="14" operator="between">
      <formula>3</formula>
      <formula>4</formula>
    </cfRule>
    <cfRule type="cellIs" dxfId="19" priority="15" operator="between">
      <formula>1</formula>
      <formula>2</formula>
    </cfRule>
  </conditionalFormatting>
  <conditionalFormatting sqref="H28:H29">
    <cfRule type="cellIs" dxfId="18" priority="5" operator="equal">
      <formula>4</formula>
    </cfRule>
    <cfRule type="cellIs" dxfId="17" priority="9" operator="equal">
      <formula>5</formula>
    </cfRule>
    <cfRule type="cellIs" dxfId="16" priority="10" operator="equal">
      <formula>3</formula>
    </cfRule>
    <cfRule type="cellIs" dxfId="15" priority="11" operator="between">
      <formula>1</formula>
      <formula>2</formula>
    </cfRule>
  </conditionalFormatting>
  <conditionalFormatting sqref="H28:H29">
    <cfRule type="cellIs" dxfId="14" priority="6" operator="equal">
      <formula>5</formula>
    </cfRule>
    <cfRule type="cellIs" dxfId="13" priority="7" operator="between">
      <formula>3</formula>
      <formula>4</formula>
    </cfRule>
    <cfRule type="cellIs" dxfId="12" priority="8" operator="between">
      <formula>1</formula>
      <formula>2</formula>
    </cfRule>
  </conditionalFormatting>
  <conditionalFormatting sqref="I28:I29">
    <cfRule type="cellIs" dxfId="11" priority="2" operator="between">
      <formula>16</formula>
      <formula>25</formula>
    </cfRule>
    <cfRule type="cellIs" dxfId="10" priority="3" operator="between">
      <formula>5</formula>
      <formula>9</formula>
    </cfRule>
    <cfRule type="cellIs" dxfId="9" priority="4" operator="between">
      <formula>1</formula>
      <formula>4</formula>
    </cfRule>
  </conditionalFormatting>
  <conditionalFormatting sqref="I28:I29">
    <cfRule type="cellIs" dxfId="8" priority="1" operator="between">
      <formula>10</formula>
      <formula>15</formula>
    </cfRule>
  </conditionalFormatting>
  <dataValidations xWindow="518" yWindow="737" count="1">
    <dataValidation type="textLength" operator="lessThanOrEqual" allowBlank="1" showInputMessage="1" showErrorMessage="1" promptTitle="Length Limitation" prompt="This cell has been limited to 25 characters." sqref="A10:A29" xr:uid="{00000000-0002-0000-0000-000000000000}">
      <formula1>25</formula1>
    </dataValidation>
  </dataValidations>
  <pageMargins left="0.7" right="0.7" top="0.75" bottom="0.75" header="0.3" footer="0.3"/>
  <pageSetup paperSize="5" scale="47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xWindow="518" yWindow="737" count="2">
        <x14:dataValidation type="list" allowBlank="1" showInputMessage="1" showErrorMessage="1" xr:uid="{00000000-0002-0000-0000-000001000000}">
          <x14:formula1>
            <xm:f>IMPACT_LIKELIHOOD_DROPDOWN!$A$6:$A$10</xm:f>
          </x14:formula1>
          <xm:sqref>E10:E29</xm:sqref>
        </x14:dataValidation>
        <x14:dataValidation type="list" allowBlank="1" showInputMessage="1" showErrorMessage="1" xr:uid="{00000000-0002-0000-0000-000002000000}">
          <x14:formula1>
            <xm:f>IMPACT_LIKELIHOOD_DROPDOWN!$A$14:$A$18</xm:f>
          </x14:formula1>
          <xm:sqref>F10:F29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B18"/>
  <sheetViews>
    <sheetView zoomScaleNormal="100" workbookViewId="0">
      <selection activeCell="D29" sqref="D29"/>
    </sheetView>
  </sheetViews>
  <sheetFormatPr defaultRowHeight="15" x14ac:dyDescent="0.25"/>
  <cols>
    <col min="1" max="1" width="14.85546875" customWidth="1"/>
    <col min="2" max="2" width="6.42578125" bestFit="1" customWidth="1"/>
  </cols>
  <sheetData>
    <row r="5" spans="1:2" ht="16.5" thickBot="1" x14ac:dyDescent="0.3">
      <c r="A5" s="3" t="s">
        <v>5</v>
      </c>
      <c r="B5" s="3" t="s">
        <v>6</v>
      </c>
    </row>
    <row r="6" spans="1:2" ht="15.75" x14ac:dyDescent="0.25">
      <c r="A6" s="1" t="s">
        <v>7</v>
      </c>
      <c r="B6" s="1">
        <v>1</v>
      </c>
    </row>
    <row r="7" spans="1:2" ht="15.75" x14ac:dyDescent="0.25">
      <c r="A7" s="1" t="s">
        <v>19</v>
      </c>
      <c r="B7" s="1">
        <v>2</v>
      </c>
    </row>
    <row r="8" spans="1:2" ht="15.75" x14ac:dyDescent="0.25">
      <c r="A8" s="1" t="s">
        <v>8</v>
      </c>
      <c r="B8" s="1">
        <v>3</v>
      </c>
    </row>
    <row r="9" spans="1:2" ht="15.75" x14ac:dyDescent="0.25">
      <c r="A9" s="1" t="s">
        <v>20</v>
      </c>
      <c r="B9" s="1">
        <v>4</v>
      </c>
    </row>
    <row r="10" spans="1:2" ht="15.75" x14ac:dyDescent="0.25">
      <c r="A10" s="1" t="s">
        <v>21</v>
      </c>
      <c r="B10" s="1">
        <v>5</v>
      </c>
    </row>
    <row r="13" spans="1:2" ht="16.5" thickBot="1" x14ac:dyDescent="0.3">
      <c r="A13" s="2" t="s">
        <v>9</v>
      </c>
      <c r="B13" s="2" t="s">
        <v>6</v>
      </c>
    </row>
    <row r="14" spans="1:2" ht="15.75" x14ac:dyDescent="0.25">
      <c r="A14" s="1" t="s">
        <v>22</v>
      </c>
      <c r="B14" s="1">
        <v>1</v>
      </c>
    </row>
    <row r="15" spans="1:2" ht="15.75" x14ac:dyDescent="0.25">
      <c r="A15" s="1" t="s">
        <v>23</v>
      </c>
      <c r="B15" s="1">
        <v>2</v>
      </c>
    </row>
    <row r="16" spans="1:2" ht="15.75" x14ac:dyDescent="0.25">
      <c r="A16" s="1" t="s">
        <v>24</v>
      </c>
      <c r="B16" s="1">
        <v>3</v>
      </c>
    </row>
    <row r="17" spans="1:2" ht="15.75" x14ac:dyDescent="0.25">
      <c r="A17" s="1" t="s">
        <v>25</v>
      </c>
      <c r="B17" s="1">
        <v>4</v>
      </c>
    </row>
    <row r="18" spans="1:2" ht="15.75" x14ac:dyDescent="0.25">
      <c r="A18" s="1" t="s">
        <v>26</v>
      </c>
      <c r="B18" s="1">
        <v>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L35"/>
  <sheetViews>
    <sheetView zoomScale="85" zoomScaleNormal="85" workbookViewId="0">
      <selection sqref="A1:L1"/>
    </sheetView>
  </sheetViews>
  <sheetFormatPr defaultColWidth="9.140625" defaultRowHeight="15" x14ac:dyDescent="0.25"/>
  <cols>
    <col min="1" max="1" width="48.28515625" style="5" customWidth="1"/>
    <col min="2" max="2" width="38.7109375" style="5" customWidth="1"/>
    <col min="3" max="3" width="33.28515625" style="5" customWidth="1"/>
    <col min="4" max="4" width="80.5703125" style="5" customWidth="1"/>
    <col min="5" max="5" width="25" style="5" bestFit="1" customWidth="1"/>
    <col min="6" max="6" width="15.7109375" style="5" customWidth="1"/>
    <col min="7" max="7" width="15.7109375" style="7" customWidth="1"/>
    <col min="8" max="8" width="16.140625" style="7" hidden="1" customWidth="1"/>
    <col min="9" max="9" width="11.85546875" style="5" hidden="1" customWidth="1"/>
    <col min="10" max="10" width="28.85546875" style="5" customWidth="1"/>
    <col min="11" max="11" width="26.7109375" style="5" customWidth="1"/>
    <col min="12" max="12" width="24.7109375" style="5" customWidth="1"/>
    <col min="13" max="16384" width="9.140625" style="5"/>
  </cols>
  <sheetData>
    <row r="1" spans="1:12" ht="21" x14ac:dyDescent="0.35">
      <c r="A1" s="80" t="s">
        <v>40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</row>
    <row r="2" spans="1:12" x14ac:dyDescent="0.25">
      <c r="A2" s="4"/>
      <c r="B2" s="4"/>
      <c r="C2" s="4"/>
      <c r="D2" s="6"/>
      <c r="E2" s="6"/>
      <c r="F2" s="4"/>
      <c r="G2" s="4"/>
      <c r="H2" s="4"/>
      <c r="I2" s="4"/>
    </row>
    <row r="3" spans="1:12" ht="18.75" x14ac:dyDescent="0.25">
      <c r="A3" s="58" t="s">
        <v>0</v>
      </c>
      <c r="B3" s="61">
        <f>'Risk Assessment'!B3</f>
        <v>0</v>
      </c>
      <c r="C3" s="4"/>
      <c r="D3" s="4"/>
      <c r="E3" s="4"/>
      <c r="F3" s="6"/>
      <c r="G3" s="6"/>
      <c r="H3" s="4"/>
      <c r="I3" s="4"/>
      <c r="J3" s="4"/>
      <c r="K3" s="4"/>
    </row>
    <row r="4" spans="1:12" ht="18.75" x14ac:dyDescent="0.25">
      <c r="A4" s="57" t="s">
        <v>1</v>
      </c>
      <c r="B4" s="62">
        <f>'Risk Assessment'!B4</f>
        <v>0</v>
      </c>
      <c r="C4" s="4"/>
      <c r="D4" s="4"/>
      <c r="E4" s="4"/>
      <c r="F4" s="6"/>
      <c r="G4" s="6"/>
      <c r="H4" s="4"/>
      <c r="I4" s="4"/>
      <c r="J4" s="4"/>
      <c r="K4" s="4"/>
    </row>
    <row r="5" spans="1:12" ht="18.75" x14ac:dyDescent="0.25">
      <c r="A5" s="58" t="s">
        <v>14</v>
      </c>
      <c r="B5" s="62">
        <f>'Risk Assessment'!B5</f>
        <v>0</v>
      </c>
      <c r="C5" s="4"/>
      <c r="D5" s="4"/>
      <c r="E5" s="4"/>
      <c r="F5" s="6"/>
      <c r="G5" s="6"/>
      <c r="H5" s="4"/>
      <c r="I5" s="4"/>
      <c r="J5" s="4"/>
      <c r="K5" s="4"/>
    </row>
    <row r="6" spans="1:12" ht="18.75" x14ac:dyDescent="0.3">
      <c r="A6" s="8"/>
      <c r="B6" s="4"/>
      <c r="C6" s="9"/>
      <c r="D6" s="4"/>
      <c r="E6" s="4"/>
      <c r="F6" s="4"/>
      <c r="G6" s="6"/>
      <c r="H6" s="6"/>
      <c r="I6" s="4"/>
      <c r="J6" s="4"/>
      <c r="K6" s="4"/>
      <c r="L6" s="4"/>
    </row>
    <row r="7" spans="1:12" ht="15.75" x14ac:dyDescent="0.25">
      <c r="A7" s="27"/>
      <c r="B7" s="28"/>
      <c r="C7" s="27"/>
      <c r="D7" s="27"/>
      <c r="E7" s="27"/>
      <c r="F7" s="29"/>
      <c r="G7" s="22"/>
      <c r="H7" s="23"/>
      <c r="I7" s="23"/>
      <c r="J7" s="79" t="s">
        <v>28</v>
      </c>
      <c r="K7" s="79"/>
    </row>
    <row r="8" spans="1:12" ht="15.75" x14ac:dyDescent="0.25">
      <c r="A8" s="21" t="s">
        <v>2</v>
      </c>
      <c r="B8" s="21" t="s">
        <v>30</v>
      </c>
      <c r="C8" s="21" t="s">
        <v>12</v>
      </c>
      <c r="D8" s="19" t="s">
        <v>16</v>
      </c>
      <c r="E8" s="19" t="s">
        <v>15</v>
      </c>
      <c r="F8" s="19" t="s">
        <v>3</v>
      </c>
      <c r="G8" s="16" t="s">
        <v>4</v>
      </c>
      <c r="H8" s="24" t="s">
        <v>3</v>
      </c>
      <c r="I8" s="24" t="s">
        <v>4</v>
      </c>
      <c r="J8" s="41" t="s">
        <v>17</v>
      </c>
      <c r="K8" s="41" t="s">
        <v>18</v>
      </c>
    </row>
    <row r="9" spans="1:12" ht="47.25" x14ac:dyDescent="0.25">
      <c r="A9" s="36" t="str">
        <f>'Risk Assessment'!B9</f>
        <v>Flood preventing access to building</v>
      </c>
      <c r="B9" s="53" t="str">
        <f>'Risk Assessment'!J9</f>
        <v xml:space="preserve">- disaster plan on SharePoint for employees to access
</v>
      </c>
      <c r="C9" s="53" t="str">
        <f>'Risk Assessment'!K9</f>
        <v>John Smith</v>
      </c>
      <c r="D9" s="11"/>
      <c r="E9" s="13"/>
      <c r="F9" s="12"/>
      <c r="G9" s="12"/>
      <c r="H9" s="25" t="e">
        <f>VLOOKUP(F9,IMPACT_LIKELIHOOD_DROPDOWN!$A$6:$B$10,2,FALSE)</f>
        <v>#N/A</v>
      </c>
      <c r="I9" s="25" t="e">
        <f>VLOOKUP(G9,IMPACT_LIKELIHOOD_DROPDOWN!$A$14:$B$18,2,FALSE)</f>
        <v>#N/A</v>
      </c>
      <c r="J9" s="26">
        <f>'Risk Assessment'!I9</f>
        <v>6</v>
      </c>
      <c r="K9" s="26" t="e">
        <f>H9*I9</f>
        <v>#N/A</v>
      </c>
    </row>
    <row r="10" spans="1:12" ht="126" x14ac:dyDescent="0.25">
      <c r="A10" s="36" t="str">
        <f>'Risk Assessment'!B10</f>
        <v>Cloud services do not perform within contracted standards</v>
      </c>
      <c r="B10" s="53" t="str">
        <f>'Risk Assessment'!J10</f>
        <v>Continue to improve monitoring solutions to provide warning when capacity is tasking current assets.
Continue to monitor announcements from Azure for new and improved features that may allow additional capacity.</v>
      </c>
      <c r="C10" s="53">
        <f>'Risk Assessment'!K10</f>
        <v>0</v>
      </c>
      <c r="D10" s="11"/>
      <c r="E10" s="14"/>
      <c r="F10" s="12"/>
      <c r="G10" s="12"/>
      <c r="H10" s="25" t="e">
        <f>VLOOKUP(F10,IMPACT_LIKELIHOOD_DROPDOWN!$A$6:$B$10,2,FALSE)</f>
        <v>#N/A</v>
      </c>
      <c r="I10" s="25" t="e">
        <f>VLOOKUP(G10,IMPACT_LIKELIHOOD_DROPDOWN!$A$14:$B$18,2,FALSE)</f>
        <v>#N/A</v>
      </c>
      <c r="J10" s="49">
        <f>'Risk Assessment'!I10</f>
        <v>6</v>
      </c>
      <c r="K10" s="26" t="e">
        <f t="shared" ref="K10:K27" si="0">H10*I10</f>
        <v>#N/A</v>
      </c>
    </row>
    <row r="11" spans="1:12" ht="141.75" x14ac:dyDescent="0.25">
      <c r="A11" s="50" t="str">
        <f>'Risk Assessment'!B11</f>
        <v xml:space="preserve">Malicious external user launches denial of service attack.  </v>
      </c>
      <c r="B11" s="53" t="str">
        <f>'Risk Assessment'!J11</f>
        <v>Monitor market to determine if additional third-party DOS coverage is appropriate.
Monitor Azure announcements for DOS protection offerrings and features.
Evaluate adding thid-party DOS protection to next year's budget.</v>
      </c>
      <c r="C11" s="53">
        <f>'Risk Assessment'!K11</f>
        <v>0</v>
      </c>
      <c r="D11" s="11"/>
      <c r="E11" s="14"/>
      <c r="F11" s="12"/>
      <c r="G11" s="12"/>
      <c r="H11" s="25" t="e">
        <f>VLOOKUP(F11,IMPACT_LIKELIHOOD_DROPDOWN!$A$6:$B$10,2,FALSE)</f>
        <v>#N/A</v>
      </c>
      <c r="I11" s="25" t="e">
        <f>VLOOKUP(G11,IMPACT_LIKELIHOOD_DROPDOWN!$A$14:$B$18,2,FALSE)</f>
        <v>#N/A</v>
      </c>
      <c r="J11" s="49">
        <f>'Risk Assessment'!I11</f>
        <v>1</v>
      </c>
      <c r="K11" s="26" t="e">
        <f t="shared" si="0"/>
        <v>#N/A</v>
      </c>
    </row>
    <row r="12" spans="1:12" ht="15.75" x14ac:dyDescent="0.25">
      <c r="A12" s="50" t="str">
        <f>'Risk Assessment'!B12</f>
        <v>Database corruption leads to data loss</v>
      </c>
      <c r="B12" s="53" t="str">
        <f>'Risk Assessment'!J12</f>
        <v>No additional work to mitigate risk.</v>
      </c>
      <c r="C12" s="53">
        <f>'Risk Assessment'!K12</f>
        <v>0</v>
      </c>
      <c r="D12" s="11"/>
      <c r="E12" s="14"/>
      <c r="F12" s="12"/>
      <c r="G12" s="12"/>
      <c r="H12" s="25" t="e">
        <f>VLOOKUP(F12,IMPACT_LIKELIHOOD_DROPDOWN!$A$6:$B$10,2,FALSE)</f>
        <v>#N/A</v>
      </c>
      <c r="I12" s="25" t="e">
        <f>VLOOKUP(G12,IMPACT_LIKELIHOOD_DROPDOWN!$A$14:$B$18,2,FALSE)</f>
        <v>#N/A</v>
      </c>
      <c r="J12" s="49">
        <f>'Risk Assessment'!I12</f>
        <v>25</v>
      </c>
      <c r="K12" s="26" t="e">
        <f t="shared" si="0"/>
        <v>#N/A</v>
      </c>
    </row>
    <row r="13" spans="1:12" ht="126" x14ac:dyDescent="0.25">
      <c r="A13" s="50" t="str">
        <f>'Risk Assessment'!B13</f>
        <v>Ransomware infects production environment</v>
      </c>
      <c r="B13" s="53" t="str">
        <f>'Risk Assessment'!J13</f>
        <v>Evaluate adding automated failover to DR Site.
Evaluate adding additional capacity to DR Site.
Evaluate creating a tertiary site whose data lags production by a few hours.</v>
      </c>
      <c r="C13" s="53">
        <f>'Risk Assessment'!K13</f>
        <v>0</v>
      </c>
      <c r="D13" s="11"/>
      <c r="E13" s="14"/>
      <c r="F13" s="12"/>
      <c r="G13" s="12"/>
      <c r="H13" s="25" t="e">
        <f>VLOOKUP(F13,IMPACT_LIKELIHOOD_DROPDOWN!$A$6:$B$10,2,FALSE)</f>
        <v>#N/A</v>
      </c>
      <c r="I13" s="25" t="e">
        <f>VLOOKUP(G13,IMPACT_LIKELIHOOD_DROPDOWN!$A$14:$B$18,2,FALSE)</f>
        <v>#N/A</v>
      </c>
      <c r="J13" s="49">
        <f>'Risk Assessment'!I13</f>
        <v>5</v>
      </c>
      <c r="K13" s="26" t="e">
        <f t="shared" si="0"/>
        <v>#N/A</v>
      </c>
    </row>
    <row r="14" spans="1:12" ht="31.5" x14ac:dyDescent="0.25">
      <c r="A14" s="50" t="str">
        <f>'Risk Assessment'!B14</f>
        <v>Third parties incur a breach and client PII is publically exposed.</v>
      </c>
      <c r="B14" s="53" t="str">
        <f>'Risk Assessment'!J14</f>
        <v>No additional work to mitigate risk.</v>
      </c>
      <c r="C14" s="53">
        <f>'Risk Assessment'!K14</f>
        <v>0</v>
      </c>
      <c r="D14" s="11"/>
      <c r="E14" s="14"/>
      <c r="F14" s="12"/>
      <c r="G14" s="12"/>
      <c r="H14" s="25" t="e">
        <f>VLOOKUP(F14,IMPACT_LIKELIHOOD_DROPDOWN!$A$6:$B$10,2,FALSE)</f>
        <v>#N/A</v>
      </c>
      <c r="I14" s="25" t="e">
        <f>VLOOKUP(G14,IMPACT_LIKELIHOOD_DROPDOWN!$A$14:$B$18,2,FALSE)</f>
        <v>#N/A</v>
      </c>
      <c r="J14" s="49" t="e">
        <f>'Risk Assessment'!I14</f>
        <v>#N/A</v>
      </c>
      <c r="K14" s="26" t="e">
        <f t="shared" si="0"/>
        <v>#N/A</v>
      </c>
    </row>
    <row r="15" spans="1:12" ht="31.5" x14ac:dyDescent="0.25">
      <c r="A15" s="50" t="str">
        <f>'Risk Assessment'!B15</f>
        <v>Unauthorized access to confidential information is obtained.</v>
      </c>
      <c r="B15" s="53" t="str">
        <f>'Risk Assessment'!J15</f>
        <v>No additional work to mitigate risk.</v>
      </c>
      <c r="C15" s="53">
        <f>'Risk Assessment'!K15</f>
        <v>0</v>
      </c>
      <c r="D15" s="11"/>
      <c r="E15" s="14"/>
      <c r="F15" s="12"/>
      <c r="G15" s="12"/>
      <c r="H15" s="25" t="e">
        <f>VLOOKUP(F15,IMPACT_LIKELIHOOD_DROPDOWN!$A$6:$B$10,2,FALSE)</f>
        <v>#N/A</v>
      </c>
      <c r="I15" s="25" t="e">
        <f>VLOOKUP(G15,IMPACT_LIKELIHOOD_DROPDOWN!$A$14:$B$18,2,FALSE)</f>
        <v>#N/A</v>
      </c>
      <c r="J15" s="49" t="e">
        <f>'Risk Assessment'!I15</f>
        <v>#N/A</v>
      </c>
      <c r="K15" s="26" t="e">
        <f t="shared" si="0"/>
        <v>#N/A</v>
      </c>
    </row>
    <row r="16" spans="1:12" ht="15.75" x14ac:dyDescent="0.25">
      <c r="A16" s="50" t="str">
        <f>'Risk Assessment'!B16</f>
        <v xml:space="preserve">A malicious employee is hired in a key position.     </v>
      </c>
      <c r="B16" s="53" t="str">
        <f>'Risk Assessment'!J16</f>
        <v>No additional work to mitigate risk.</v>
      </c>
      <c r="C16" s="53">
        <f>'Risk Assessment'!K16</f>
        <v>0</v>
      </c>
      <c r="D16" s="11"/>
      <c r="E16" s="14"/>
      <c r="F16" s="12"/>
      <c r="G16" s="12"/>
      <c r="H16" s="25" t="e">
        <f>VLOOKUP(F16,IMPACT_LIKELIHOOD_DROPDOWN!$A$6:$B$10,2,FALSE)</f>
        <v>#N/A</v>
      </c>
      <c r="I16" s="25" t="e">
        <f>VLOOKUP(G16,IMPACT_LIKELIHOOD_DROPDOWN!$A$14:$B$18,2,FALSE)</f>
        <v>#N/A</v>
      </c>
      <c r="J16" s="49" t="e">
        <f>'Risk Assessment'!I16</f>
        <v>#N/A</v>
      </c>
      <c r="K16" s="26" t="e">
        <f t="shared" si="0"/>
        <v>#N/A</v>
      </c>
    </row>
    <row r="17" spans="1:12" ht="31.5" x14ac:dyDescent="0.25">
      <c r="A17" s="50" t="str">
        <f>'Risk Assessment'!B17</f>
        <v>Natural disaster prevents COMPANY_NAME employees access to COMPANY_NAME office.</v>
      </c>
      <c r="B17" s="53" t="str">
        <f>'Risk Assessment'!J17</f>
        <v>No additional work to mitigate risk.</v>
      </c>
      <c r="C17" s="53">
        <f>'Risk Assessment'!K17</f>
        <v>0</v>
      </c>
      <c r="D17" s="11"/>
      <c r="E17" s="14"/>
      <c r="F17" s="12"/>
      <c r="G17" s="12"/>
      <c r="H17" s="25" t="e">
        <f>VLOOKUP(F17,IMPACT_LIKELIHOOD_DROPDOWN!$A$6:$B$10,2,FALSE)</f>
        <v>#N/A</v>
      </c>
      <c r="I17" s="25" t="e">
        <f>VLOOKUP(G17,IMPACT_LIKELIHOOD_DROPDOWN!$A$14:$B$18,2,FALSE)</f>
        <v>#N/A</v>
      </c>
      <c r="J17" s="49" t="e">
        <f>'Risk Assessment'!I17</f>
        <v>#N/A</v>
      </c>
      <c r="K17" s="26" t="e">
        <f t="shared" si="0"/>
        <v>#N/A</v>
      </c>
    </row>
    <row r="18" spans="1:12" ht="63" x14ac:dyDescent="0.25">
      <c r="A18" s="50" t="str">
        <f>'Risk Assessment'!B18</f>
        <v xml:space="preserve">An uneducated internal user releases PII data. 
</v>
      </c>
      <c r="B18" s="53" t="str">
        <f>'Risk Assessment'!J18</f>
        <v>Evaluate DLP product markets.
Evaluate adding budget for DLP product to next year's budget.</v>
      </c>
      <c r="C18" s="53">
        <f>'Risk Assessment'!K18</f>
        <v>0</v>
      </c>
      <c r="D18" s="11"/>
      <c r="E18" s="14"/>
      <c r="F18" s="12"/>
      <c r="G18" s="12"/>
      <c r="H18" s="25" t="e">
        <f>VLOOKUP(F18,IMPACT_LIKELIHOOD_DROPDOWN!$A$6:$B$10,2,FALSE)</f>
        <v>#N/A</v>
      </c>
      <c r="I18" s="25" t="e">
        <f>VLOOKUP(G18,IMPACT_LIKELIHOOD_DROPDOWN!$A$14:$B$18,2,FALSE)</f>
        <v>#N/A</v>
      </c>
      <c r="J18" s="49" t="e">
        <f>'Risk Assessment'!I18</f>
        <v>#N/A</v>
      </c>
      <c r="K18" s="26" t="e">
        <f t="shared" si="0"/>
        <v>#N/A</v>
      </c>
    </row>
    <row r="19" spans="1:12" ht="15.75" x14ac:dyDescent="0.25">
      <c r="A19" s="50" t="str">
        <f>'Risk Assessment'!B19</f>
        <v xml:space="preserve">PII data is used in test environments.  </v>
      </c>
      <c r="B19" s="53" t="str">
        <f>'Risk Assessment'!J19</f>
        <v>No additional work to mitigate risk.</v>
      </c>
      <c r="C19" s="53">
        <f>'Risk Assessment'!K19</f>
        <v>0</v>
      </c>
      <c r="D19" s="11"/>
      <c r="E19" s="14"/>
      <c r="F19" s="12"/>
      <c r="G19" s="12"/>
      <c r="H19" s="25" t="e">
        <f>VLOOKUP(F19,IMPACT_LIKELIHOOD_DROPDOWN!$A$6:$B$10,2,FALSE)</f>
        <v>#N/A</v>
      </c>
      <c r="I19" s="25" t="e">
        <f>VLOOKUP(G19,IMPACT_LIKELIHOOD_DROPDOWN!$A$14:$B$18,2,FALSE)</f>
        <v>#N/A</v>
      </c>
      <c r="J19" s="49" t="e">
        <f>'Risk Assessment'!I19</f>
        <v>#N/A</v>
      </c>
      <c r="K19" s="26" t="e">
        <f t="shared" si="0"/>
        <v>#N/A</v>
      </c>
    </row>
    <row r="20" spans="1:12" ht="78.75" x14ac:dyDescent="0.25">
      <c r="A20" s="50" t="str">
        <f>'Risk Assessment'!B20</f>
        <v xml:space="preserve">A full failover exercise has not been successfully completed.  </v>
      </c>
      <c r="B20" s="53" t="str">
        <f>'Risk Assessment'!J20</f>
        <v>Additional DR testing needs to be performed.
Evaluate adding automatic failover to DR plan.</v>
      </c>
      <c r="C20" s="53">
        <f>'Risk Assessment'!K20</f>
        <v>0</v>
      </c>
      <c r="D20" s="11"/>
      <c r="E20" s="14"/>
      <c r="F20" s="12"/>
      <c r="G20" s="12"/>
      <c r="H20" s="25" t="e">
        <f>VLOOKUP(F20,IMPACT_LIKELIHOOD_DROPDOWN!$A$6:$B$10,2,FALSE)</f>
        <v>#N/A</v>
      </c>
      <c r="I20" s="25" t="e">
        <f>VLOOKUP(G20,IMPACT_LIKELIHOOD_DROPDOWN!$A$14:$B$18,2,FALSE)</f>
        <v>#N/A</v>
      </c>
      <c r="J20" s="49" t="e">
        <f>'Risk Assessment'!I20</f>
        <v>#N/A</v>
      </c>
      <c r="K20" s="26" t="e">
        <f t="shared" si="0"/>
        <v>#N/A</v>
      </c>
    </row>
    <row r="21" spans="1:12" ht="31.5" x14ac:dyDescent="0.25">
      <c r="A21" s="50" t="str">
        <f>'Risk Assessment'!B21</f>
        <v xml:space="preserve">Cloud backups are not operating as designed. </v>
      </c>
      <c r="B21" s="53" t="str">
        <f>'Risk Assessment'!J21</f>
        <v>Additional DR testing needs to be performed.</v>
      </c>
      <c r="C21" s="53">
        <f>'Risk Assessment'!K21</f>
        <v>0</v>
      </c>
      <c r="D21" s="11"/>
      <c r="E21" s="14"/>
      <c r="F21" s="12"/>
      <c r="G21" s="12"/>
      <c r="H21" s="25" t="e">
        <f>VLOOKUP(F21,IMPACT_LIKELIHOOD_DROPDOWN!$A$6:$B$10,2,FALSE)</f>
        <v>#N/A</v>
      </c>
      <c r="I21" s="25" t="e">
        <f>VLOOKUP(G21,IMPACT_LIKELIHOOD_DROPDOWN!$A$14:$B$18,2,FALSE)</f>
        <v>#N/A</v>
      </c>
      <c r="J21" s="49" t="e">
        <f>'Risk Assessment'!I21</f>
        <v>#N/A</v>
      </c>
      <c r="K21" s="26" t="e">
        <f t="shared" si="0"/>
        <v>#N/A</v>
      </c>
    </row>
    <row r="22" spans="1:12" ht="78.75" x14ac:dyDescent="0.25">
      <c r="A22" s="50" t="str">
        <f>'Risk Assessment'!B22</f>
        <v xml:space="preserve">Key personnel are not available during an emergency and backup individuals are not assigned.  </v>
      </c>
      <c r="B22" s="53" t="str">
        <f>'Risk Assessment'!J22</f>
        <v>Additional DR testing needs to be performed.
Evaluate adding automatic failover to DR plan.</v>
      </c>
      <c r="C22" s="53">
        <f>'Risk Assessment'!K22</f>
        <v>0</v>
      </c>
      <c r="D22" s="11"/>
      <c r="E22" s="14"/>
      <c r="F22" s="12"/>
      <c r="G22" s="12"/>
      <c r="H22" s="25" t="e">
        <f>VLOOKUP(F22,IMPACT_LIKELIHOOD_DROPDOWN!$A$6:$B$10,2,FALSE)</f>
        <v>#N/A</v>
      </c>
      <c r="I22" s="25" t="e">
        <f>VLOOKUP(G22,IMPACT_LIKELIHOOD_DROPDOWN!$A$14:$B$18,2,FALSE)</f>
        <v>#N/A</v>
      </c>
      <c r="J22" s="49" t="e">
        <f>'Risk Assessment'!I22</f>
        <v>#N/A</v>
      </c>
      <c r="K22" s="26" t="e">
        <f t="shared" si="0"/>
        <v>#N/A</v>
      </c>
    </row>
    <row r="23" spans="1:12" ht="15.75" x14ac:dyDescent="0.25">
      <c r="A23" s="50" t="str">
        <f>'Risk Assessment'!B23</f>
        <v xml:space="preserve">A man in the middle attack intercepts PII.  </v>
      </c>
      <c r="B23" s="53" t="str">
        <f>'Risk Assessment'!J23</f>
        <v>No additional work to mitigate risk.</v>
      </c>
      <c r="C23" s="53">
        <f>'Risk Assessment'!K23</f>
        <v>0</v>
      </c>
      <c r="D23" s="11"/>
      <c r="E23" s="14"/>
      <c r="F23" s="12"/>
      <c r="G23" s="12"/>
      <c r="H23" s="25" t="e">
        <f>VLOOKUP(F23,IMPACT_LIKELIHOOD_DROPDOWN!$A$6:$B$10,2,FALSE)</f>
        <v>#N/A</v>
      </c>
      <c r="I23" s="25" t="e">
        <f>VLOOKUP(G23,IMPACT_LIKELIHOOD_DROPDOWN!$A$14:$B$18,2,FALSE)</f>
        <v>#N/A</v>
      </c>
      <c r="J23" s="49" t="e">
        <f>'Risk Assessment'!I23</f>
        <v>#N/A</v>
      </c>
      <c r="K23" s="26" t="e">
        <f t="shared" si="0"/>
        <v>#N/A</v>
      </c>
    </row>
    <row r="24" spans="1:12" ht="47.25" x14ac:dyDescent="0.25">
      <c r="A24" s="50" t="str">
        <f>'Risk Assessment'!B24</f>
        <v xml:space="preserve">Unauthorized code is input into the production environment in error, prior to testing and approval.  </v>
      </c>
      <c r="B24" s="53" t="str">
        <f>'Risk Assessment'!J24</f>
        <v>No additional work to mitigate risk.</v>
      </c>
      <c r="C24" s="53">
        <f>'Risk Assessment'!K24</f>
        <v>0</v>
      </c>
      <c r="D24" s="11"/>
      <c r="E24" s="14"/>
      <c r="F24" s="12"/>
      <c r="G24" s="12"/>
      <c r="H24" s="25" t="e">
        <f>VLOOKUP(F24,IMPACT_LIKELIHOOD_DROPDOWN!$A$6:$B$10,2,FALSE)</f>
        <v>#N/A</v>
      </c>
      <c r="I24" s="25" t="e">
        <f>VLOOKUP(G24,IMPACT_LIKELIHOOD_DROPDOWN!$A$14:$B$18,2,FALSE)</f>
        <v>#N/A</v>
      </c>
      <c r="J24" s="49" t="e">
        <f>'Risk Assessment'!I24</f>
        <v>#N/A</v>
      </c>
      <c r="K24" s="26" t="e">
        <f t="shared" si="0"/>
        <v>#N/A</v>
      </c>
    </row>
    <row r="25" spans="1:12" ht="78.75" x14ac:dyDescent="0.25">
      <c r="A25" s="50" t="str">
        <f>'Risk Assessment'!B25</f>
        <v>Natural disaster affects Azure data center</v>
      </c>
      <c r="B25" s="53" t="str">
        <f>'Risk Assessment'!J25</f>
        <v>Additional DR testing needs to be performed.
Evaluate adding automatic failover to DR plan.</v>
      </c>
      <c r="C25" s="53">
        <f>'Risk Assessment'!K25</f>
        <v>0</v>
      </c>
      <c r="D25" s="11"/>
      <c r="E25" s="14"/>
      <c r="F25" s="12"/>
      <c r="G25" s="12"/>
      <c r="H25" s="25" t="e">
        <f>VLOOKUP(F25,IMPACT_LIKELIHOOD_DROPDOWN!$A$6:$B$10,2,FALSE)</f>
        <v>#N/A</v>
      </c>
      <c r="I25" s="25" t="e">
        <f>VLOOKUP(G25,IMPACT_LIKELIHOOD_DROPDOWN!$A$14:$B$18,2,FALSE)</f>
        <v>#N/A</v>
      </c>
      <c r="J25" s="49" t="e">
        <f>'Risk Assessment'!I25</f>
        <v>#N/A</v>
      </c>
      <c r="K25" s="26" t="e">
        <f t="shared" si="0"/>
        <v>#N/A</v>
      </c>
    </row>
    <row r="26" spans="1:12" ht="15.75" x14ac:dyDescent="0.25">
      <c r="A26" s="50" t="str">
        <f>'Risk Assessment'!B26</f>
        <v xml:space="preserve">Regulatory changes are not identified </v>
      </c>
      <c r="B26" s="53" t="str">
        <f>'Risk Assessment'!J26</f>
        <v>No additional work to mitigate risk.</v>
      </c>
      <c r="C26" s="53">
        <f>'Risk Assessment'!K26</f>
        <v>0</v>
      </c>
      <c r="D26" s="11"/>
      <c r="E26" s="14"/>
      <c r="F26" s="12"/>
      <c r="G26" s="12"/>
      <c r="H26" s="25" t="e">
        <f>VLOOKUP(F26,IMPACT_LIKELIHOOD_DROPDOWN!$A$6:$B$10,2,FALSE)</f>
        <v>#N/A</v>
      </c>
      <c r="I26" s="25" t="e">
        <f>VLOOKUP(G26,IMPACT_LIKELIHOOD_DROPDOWN!$A$14:$B$18,2,FALSE)</f>
        <v>#N/A</v>
      </c>
      <c r="J26" s="49" t="e">
        <f>'Risk Assessment'!I26</f>
        <v>#N/A</v>
      </c>
      <c r="K26" s="26" t="e">
        <f t="shared" si="0"/>
        <v>#N/A</v>
      </c>
    </row>
    <row r="27" spans="1:12" ht="47.25" x14ac:dyDescent="0.25">
      <c r="A27" s="50" t="str">
        <f>'Risk Assessment'!B27</f>
        <v>COMPANY_NAME does not create business plans to address or respond to market conditions and forecasts of changing conditions.</v>
      </c>
      <c r="B27" s="53" t="str">
        <f>'Risk Assessment'!J27</f>
        <v>No additional work to mitigate risk.</v>
      </c>
      <c r="C27" s="53">
        <f>'Risk Assessment'!K27</f>
        <v>0</v>
      </c>
      <c r="D27" s="11"/>
      <c r="E27" s="14"/>
      <c r="F27" s="12"/>
      <c r="G27" s="12"/>
      <c r="H27" s="25" t="e">
        <f>VLOOKUP(F27,IMPACT_LIKELIHOOD_DROPDOWN!$A$6:$B$10,2,FALSE)</f>
        <v>#N/A</v>
      </c>
      <c r="I27" s="25" t="e">
        <f>VLOOKUP(G27,IMPACT_LIKELIHOOD_DROPDOWN!$A$14:$B$18,2,FALSE)</f>
        <v>#N/A</v>
      </c>
      <c r="J27" s="49" t="e">
        <f>'Risk Assessment'!I27</f>
        <v>#N/A</v>
      </c>
      <c r="K27" s="26" t="e">
        <f t="shared" si="0"/>
        <v>#N/A</v>
      </c>
    </row>
    <row r="28" spans="1:12" s="43" customFormat="1" ht="47.25" x14ac:dyDescent="0.25">
      <c r="A28" s="50" t="str">
        <f>'Risk Assessment'!B28</f>
        <v>company does not respond to client feedback concerns (causing a loss of revenue and client footprint)</v>
      </c>
      <c r="B28" s="53" t="str">
        <f>'Risk Assessment'!J28</f>
        <v>No additional work to mitigate risk.</v>
      </c>
      <c r="C28" s="53">
        <f>'Risk Assessment'!K28</f>
        <v>0</v>
      </c>
      <c r="D28" s="44"/>
      <c r="E28" s="47"/>
      <c r="F28" s="45"/>
      <c r="G28" s="45"/>
      <c r="H28" s="48" t="e">
        <f>VLOOKUP(F28,IMPACT_LIKELIHOOD_DROPDOWN!$A$6:$B$10,2,FALSE)</f>
        <v>#N/A</v>
      </c>
      <c r="I28" s="48" t="e">
        <f>VLOOKUP(G28,IMPACT_LIKELIHOOD_DROPDOWN!$A$14:$B$18,2,FALSE)</f>
        <v>#N/A</v>
      </c>
      <c r="J28" s="49" t="e">
        <f>'Risk Assessment'!I28</f>
        <v>#N/A</v>
      </c>
      <c r="K28" s="49" t="e">
        <f t="shared" ref="K28:K29" si="1">H28*I28</f>
        <v>#N/A</v>
      </c>
    </row>
    <row r="29" spans="1:12" s="43" customFormat="1" ht="31.5" x14ac:dyDescent="0.25">
      <c r="A29" s="50" t="str">
        <f>'Risk Assessment'!B29</f>
        <v>Ability to continue to provide existing service to clients that rely on third party vendors.</v>
      </c>
      <c r="B29" s="53" t="str">
        <f>'Risk Assessment'!J29</f>
        <v>No additional work to mitigate risk.</v>
      </c>
      <c r="C29" s="53">
        <f>'Risk Assessment'!K29</f>
        <v>0</v>
      </c>
      <c r="D29" s="44"/>
      <c r="E29" s="47"/>
      <c r="F29" s="45"/>
      <c r="G29" s="45"/>
      <c r="H29" s="48" t="e">
        <f>VLOOKUP(F29,IMPACT_LIKELIHOOD_DROPDOWN!$A$6:$B$10,2,FALSE)</f>
        <v>#N/A</v>
      </c>
      <c r="I29" s="48" t="e">
        <f>VLOOKUP(G29,IMPACT_LIKELIHOOD_DROPDOWN!$A$14:$B$18,2,FALSE)</f>
        <v>#N/A</v>
      </c>
      <c r="J29" s="49" t="e">
        <f>'Risk Assessment'!I29</f>
        <v>#N/A</v>
      </c>
      <c r="K29" s="49" t="e">
        <f t="shared" si="1"/>
        <v>#N/A</v>
      </c>
    </row>
    <row r="30" spans="1:12" x14ac:dyDescent="0.25">
      <c r="A30" s="4"/>
      <c r="B30" s="4"/>
      <c r="C30" s="4"/>
      <c r="D30" s="4"/>
      <c r="E30" s="4"/>
      <c r="F30" s="6"/>
      <c r="G30" s="6"/>
      <c r="H30" s="4"/>
      <c r="I30" s="4"/>
      <c r="J30" s="4"/>
      <c r="K30" s="4"/>
    </row>
    <row r="31" spans="1:12" ht="15.75" x14ac:dyDescent="0.25">
      <c r="A31" s="4"/>
      <c r="B31" s="4"/>
      <c r="C31" s="4"/>
      <c r="D31" s="4"/>
      <c r="E31" s="4"/>
      <c r="F31" s="4"/>
      <c r="G31" s="6"/>
      <c r="H31" s="6"/>
      <c r="I31" s="4"/>
      <c r="J31" s="81" t="s">
        <v>36</v>
      </c>
      <c r="K31" s="82"/>
      <c r="L31" s="4"/>
    </row>
    <row r="32" spans="1:12" ht="15.75" x14ac:dyDescent="0.25">
      <c r="A32" s="4"/>
      <c r="B32" s="4"/>
      <c r="C32" s="4"/>
      <c r="D32" s="4"/>
      <c r="E32" s="4"/>
      <c r="F32" s="4"/>
      <c r="G32" s="6"/>
      <c r="H32" s="6"/>
      <c r="I32" s="4"/>
      <c r="J32" s="30"/>
      <c r="K32" s="31" t="s">
        <v>38</v>
      </c>
      <c r="L32" s="37"/>
    </row>
    <row r="33" spans="10:12" ht="15.75" x14ac:dyDescent="0.25">
      <c r="J33" s="32"/>
      <c r="K33" s="33" t="s">
        <v>43</v>
      </c>
      <c r="L33" s="38"/>
    </row>
    <row r="34" spans="10:12" ht="15.75" x14ac:dyDescent="0.25">
      <c r="J34" s="40"/>
      <c r="K34" s="33" t="s">
        <v>42</v>
      </c>
    </row>
    <row r="35" spans="10:12" ht="15.75" x14ac:dyDescent="0.25">
      <c r="J35" s="34"/>
      <c r="K35" s="35" t="s">
        <v>41</v>
      </c>
    </row>
  </sheetData>
  <sheetProtection formatCells="0" formatColumns="0" formatRows="0" selectLockedCells="1" sort="0"/>
  <mergeCells count="3">
    <mergeCell ref="A1:L1"/>
    <mergeCell ref="J7:K7"/>
    <mergeCell ref="J31:K31"/>
  </mergeCells>
  <conditionalFormatting sqref="J9:K9 K10:K27 J10:J29">
    <cfRule type="cellIs" dxfId="7" priority="9" operator="between">
      <formula>16</formula>
      <formula>25</formula>
    </cfRule>
    <cfRule type="cellIs" dxfId="6" priority="10" operator="between">
      <formula>5</formula>
      <formula>9</formula>
    </cfRule>
    <cfRule type="cellIs" dxfId="5" priority="11" operator="between">
      <formula>1</formula>
      <formula>4</formula>
    </cfRule>
  </conditionalFormatting>
  <conditionalFormatting sqref="J9:J29 K9:K27">
    <cfRule type="cellIs" dxfId="4" priority="8" operator="between">
      <formula>10</formula>
      <formula>15</formula>
    </cfRule>
  </conditionalFormatting>
  <conditionalFormatting sqref="K28:K29">
    <cfRule type="cellIs" dxfId="3" priority="3" operator="between">
      <formula>16</formula>
      <formula>25</formula>
    </cfRule>
    <cfRule type="cellIs" dxfId="2" priority="4" operator="between">
      <formula>5</formula>
      <formula>9</formula>
    </cfRule>
    <cfRule type="cellIs" dxfId="1" priority="5" operator="between">
      <formula>1</formula>
      <formula>4</formula>
    </cfRule>
  </conditionalFormatting>
  <conditionalFormatting sqref="K28:K29">
    <cfRule type="cellIs" dxfId="0" priority="1" operator="between">
      <formula>10</formula>
      <formula>15</formula>
    </cfRule>
  </conditionalFormatting>
  <pageMargins left="0.7" right="0.7" top="0.75" bottom="0.75" header="0.3" footer="0.3"/>
  <pageSetup paperSize="5" scale="51" fitToHeight="0" orientation="landscape" r:id="rId1"/>
  <ignoredErrors>
    <ignoredError sqref="K10:K27" evalError="1"/>
    <ignoredError sqref="A10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0000000}">
          <x14:formula1>
            <xm:f>IMPACT_LIKELIHOOD_DROPDOWN!$A$14:$A$18</xm:f>
          </x14:formula1>
          <xm:sqref>G9:G29</xm:sqref>
        </x14:dataValidation>
        <x14:dataValidation type="list" allowBlank="1" showInputMessage="1" showErrorMessage="1" xr:uid="{00000000-0002-0000-0300-000001000000}">
          <x14:formula1>
            <xm:f>IMPACT_LIKELIHOOD_DROPDOWN!$A$6:$A$10</xm:f>
          </x14:formula1>
          <xm:sqref>F9:F29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Risk Assessment</vt:lpstr>
      <vt:lpstr>IMPACT_LIKELIHOOD_DROPDOWN</vt:lpstr>
      <vt:lpstr>Risk Register</vt:lpstr>
      <vt:lpstr>Heat Map</vt:lpstr>
      <vt:lpstr>'Risk Assessment'!Print_Area</vt:lpstr>
      <vt:lpstr>'Risk Register'!Print_Area</vt:lpstr>
    </vt:vector>
  </TitlesOfParts>
  <Company>Oregon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FinLocker RA</dc:title>
  <dc:creator>MNord@bswllc.com</dc:creator>
  <cp:lastModifiedBy>Johnson, Melinda  CLAY Concero</cp:lastModifiedBy>
  <cp:lastPrinted>2014-04-17T17:08:09Z</cp:lastPrinted>
  <dcterms:created xsi:type="dcterms:W3CDTF">2014-04-08T16:53:10Z</dcterms:created>
  <dcterms:modified xsi:type="dcterms:W3CDTF">2019-07-12T21:30:37Z</dcterms:modified>
</cp:coreProperties>
</file>